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hidePivotFieldList="1" refreshAllConnections="1"/>
  <mc:AlternateContent xmlns:mc="http://schemas.openxmlformats.org/markup-compatibility/2006">
    <mc:Choice Requires="x15">
      <x15ac:absPath xmlns:x15ac="http://schemas.microsoft.com/office/spreadsheetml/2010/11/ac" url="E:\TalentDataHub\Data\Excel Templates\"/>
    </mc:Choice>
  </mc:AlternateContent>
  <xr:revisionPtr revIDLastSave="0" documentId="8_{8FE7469F-73EA-491F-A261-AC824C7FA075}" xr6:coauthVersionLast="47" xr6:coauthVersionMax="47" xr10:uidLastSave="{00000000-0000-0000-0000-000000000000}"/>
  <bookViews>
    <workbookView xWindow="-120" yWindow="-120" windowWidth="29040" windowHeight="16440" xr2:uid="{2D80D6C4-6092-4100-A323-A9772224A443}"/>
  </bookViews>
  <sheets>
    <sheet name="Indicadores PEA" sheetId="5" r:id="rId1"/>
    <sheet name="Conjunto de datos" sheetId="3" r:id="rId2"/>
  </sheets>
  <definedNames>
    <definedName name="ExternalData_1" localSheetId="1" hidden="1">'Conjunto de datos'!$A$1:$H$20</definedName>
  </definedNames>
  <calcPr calcId="191029"/>
  <pivotCaches>
    <pivotCache cacheId="2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7" i="5" l="1"/>
  <c r="L21" i="5"/>
  <c r="L15" i="5"/>
  <c r="H15" i="5"/>
  <c r="L9" i="5"/>
  <c r="H9" i="5"/>
</calcChain>
</file>

<file path=xl/sharedStrings.xml><?xml version="1.0" encoding="utf-8"?>
<sst xmlns="http://schemas.openxmlformats.org/spreadsheetml/2006/main" count="40" uniqueCount="40">
  <si>
    <t>periodo</t>
  </si>
  <si>
    <t>a_pea</t>
  </si>
  <si>
    <t>a_npea</t>
  </si>
  <si>
    <t>a_pea_ocupada</t>
  </si>
  <si>
    <t>a_pea_desocupada</t>
  </si>
  <si>
    <t>g_pea15h</t>
  </si>
  <si>
    <t>g_npea15h</t>
  </si>
  <si>
    <t>g_pea15m</t>
  </si>
  <si>
    <t>PEA Anual Año 2023</t>
  </si>
  <si>
    <t>NO PEA Anual Año 2023</t>
  </si>
  <si>
    <t>Tasa Ocupación de la PEA 2023</t>
  </si>
  <si>
    <t>Tasa Desocupación de la PEA 2023</t>
  </si>
  <si>
    <t>Grand Total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</si>
  <si>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</si>
  <si>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</si>
  <si>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</si>
  <si>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</si>
  <si>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</si>
  <si>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</si>
  <si>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</si>
  <si>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</si>
  <si>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</si>
  <si>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</si>
  <si>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</si>
  <si>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</si>
  <si>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</si>
  <si>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</si>
  <si>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</si>
  <si>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</si>
  <si>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</si>
  <si>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</si>
  <si>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</si>
  <si>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Año</t>
  </si>
  <si>
    <t>PEA</t>
  </si>
  <si>
    <t>No PEA</t>
  </si>
  <si>
    <t>PEA Ocupada</t>
  </si>
  <si>
    <t>PEA Desocupada</t>
  </si>
  <si>
    <t>Tasa Ocupación &gt;15 años Hombres</t>
  </si>
  <si>
    <t>Tasa Ocupación &gt;15 años Mujeres</t>
  </si>
  <si>
    <t>ANÁLISIS DE OCUPACIÓN Y DESOCUPACIÓN DE LA POBLACIÓN ECONÓMICAMENTE ACTIVA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</si>
</sst>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yyyy/mm/dd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sz val="36"/>
      <color theme="1"/>
      <name val="Aptos Narrow"/>
      <family val="2"/>
      <scheme val="minor"/>
    </font>
    <font>
      <sz val="22"/>
      <color theme="7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5C21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0" borderId="0" xfId="0" applyNumberFormat="1"/>
    <xf numFmtId="165" fontId="0" fillId="0" borderId="0" xfId="0" applyNumberFormat="1"/>
    <xf numFmtId="0" fontId="1" fillId="6" borderId="1" xfId="0" applyFont="1" applyFill="1" applyBorder="1"/>
    <xf numFmtId="0" fontId="0" fillId="6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2" fillId="6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8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</dxfs>
  <tableStyles count="0" defaultTableStyle="TableStyleMedium2" defaultPivotStyle="PivotStyleLight16"/>
  <colors>
    <mruColors>
      <color rgb="FFF5C2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'Conjunto de datos'!$D$1</c:f>
              <c:strCache>
                <c:ptCount val="1"/>
                <c:pt idx="0">
                  <c:v>a_pea_ocupada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'Conjunto de datos'!$A$2:$A$20</c:f>
              <c:numCache>
                <c:formatCode>yyyy/mm/dd</c:formatCode>
                <c:ptCount val="19"/>
                <c:pt idx="0">
                  <c:v>38353</c:v>
                </c:pt>
                <c:pt idx="1">
                  <c:v>38718</c:v>
                </c:pt>
                <c:pt idx="2">
                  <c:v>39083</c:v>
                </c:pt>
                <c:pt idx="3">
                  <c:v>39448</c:v>
                </c:pt>
                <c:pt idx="4">
                  <c:v>39814</c:v>
                </c:pt>
                <c:pt idx="5">
                  <c:v>40179</c:v>
                </c:pt>
                <c:pt idx="6">
                  <c:v>40544</c:v>
                </c:pt>
                <c:pt idx="7">
                  <c:v>40909</c:v>
                </c:pt>
                <c:pt idx="8">
                  <c:v>41275</c:v>
                </c:pt>
                <c:pt idx="9">
                  <c:v>41640</c:v>
                </c:pt>
                <c:pt idx="10">
                  <c:v>42005</c:v>
                </c:pt>
                <c:pt idx="11">
                  <c:v>42370</c:v>
                </c:pt>
                <c:pt idx="12">
                  <c:v>42736</c:v>
                </c:pt>
                <c:pt idx="13">
                  <c:v>43101</c:v>
                </c:pt>
                <c:pt idx="14">
                  <c:v>43466</c:v>
                </c:pt>
                <c:pt idx="15">
                  <c:v>43831</c:v>
                </c:pt>
                <c:pt idx="16">
                  <c:v>44197</c:v>
                </c:pt>
                <c:pt idx="17">
                  <c:v>44562</c:v>
                </c:pt>
                <c:pt idx="18">
                  <c:v>44927</c:v>
                </c:pt>
              </c:numCache>
            </c:numRef>
          </c:cat>
          <c:val>
            <c:numRef>
              <c:f>'Conjunto de datos'!$D$2:$D$20</c:f>
              <c:numCache>
                <c:formatCode>0.000</c:formatCode>
                <c:ptCount val="19"/>
                <c:pt idx="0">
                  <c:v>96.52</c:v>
                </c:pt>
                <c:pt idx="1">
                  <c:v>96.469999999999985</c:v>
                </c:pt>
                <c:pt idx="2">
                  <c:v>96.384999999999991</c:v>
                </c:pt>
                <c:pt idx="3">
                  <c:v>96.116666666666674</c:v>
                </c:pt>
                <c:pt idx="4">
                  <c:v>94.660000000000011</c:v>
                </c:pt>
                <c:pt idx="5">
                  <c:v>94.724166666666676</c:v>
                </c:pt>
                <c:pt idx="6">
                  <c:v>94.824166666666656</c:v>
                </c:pt>
                <c:pt idx="7">
                  <c:v>95.110833333333332</c:v>
                </c:pt>
                <c:pt idx="8">
                  <c:v>95.057500000000005</c:v>
                </c:pt>
                <c:pt idx="9">
                  <c:v>95.161666666666676</c:v>
                </c:pt>
                <c:pt idx="10">
                  <c:v>95.649166666666659</c:v>
                </c:pt>
                <c:pt idx="11">
                  <c:v>96.122500000000002</c:v>
                </c:pt>
                <c:pt idx="12">
                  <c:v>96.58</c:v>
                </c:pt>
                <c:pt idx="13">
                  <c:v>96.68</c:v>
                </c:pt>
                <c:pt idx="14">
                  <c:v>96.509166666666673</c:v>
                </c:pt>
                <c:pt idx="15">
                  <c:v>95.568333333333328</c:v>
                </c:pt>
                <c:pt idx="16">
                  <c:v>95.86333333333333</c:v>
                </c:pt>
                <c:pt idx="17">
                  <c:v>96.726666666666674</c:v>
                </c:pt>
                <c:pt idx="18">
                  <c:v>97.227999999999994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9-4C58-A70B-2283BF14A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635200"/>
        <c:axId val="1472608031"/>
      </c:lineChart>
      <c:dateAx>
        <c:axId val="1294635200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608031"/>
        <c:crosses val="autoZero"/>
        <c:auto val="1"/>
        <c:lblOffset val="100"/>
        <c:baseTimeUnit val="years"/>
      </c:dateAx>
      <c:valAx>
        <c:axId val="147260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63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[PEA vs NPEA Plantilla Excel v1.xltx]Indicadores PEA!PivotTable6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'Indicadores PEA'!$C$20</c:f>
              <c:strCache>
                <c:ptCount val="1"/>
                <c:pt idx="0">
                  <c:v>PEA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'Indicadores PEA'!$B$21:$B$40</c:f>
              <c:strCache>
                <c:ptCount val="1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</c:strCache>
            </c:strRef>
          </c:cat>
          <c:val>
            <c:numRef>
              <c:f>'Indicadores PEA'!$C$21:$C$40</c:f>
              <c:numCache>
                <c:formatCode>0.000</c:formatCode>
                <c:ptCount val="19"/>
                <c:pt idx="0">
                  <c:v>59.302500000000002</c:v>
                </c:pt>
                <c:pt idx="1">
                  <c:v>60.085833333333333</c:v>
                </c:pt>
                <c:pt idx="2">
                  <c:v>60.049166666666672</c:v>
                </c:pt>
                <c:pt idx="3">
                  <c:v>59.901666666666671</c:v>
                </c:pt>
                <c:pt idx="4">
                  <c:v>59.868333333333332</c:v>
                </c:pt>
                <c:pt idx="5">
                  <c:v>59.629999999999995</c:v>
                </c:pt>
                <c:pt idx="6">
                  <c:v>59.729166666666664</c:v>
                </c:pt>
                <c:pt idx="7">
                  <c:v>60.370833333333337</c:v>
                </c:pt>
                <c:pt idx="8">
                  <c:v>60.384999999999998</c:v>
                </c:pt>
                <c:pt idx="9">
                  <c:v>59.855833333333329</c:v>
                </c:pt>
                <c:pt idx="10">
                  <c:v>59.861666666666672</c:v>
                </c:pt>
                <c:pt idx="11">
                  <c:v>59.723333333333336</c:v>
                </c:pt>
                <c:pt idx="12">
                  <c:v>59.360833333333339</c:v>
                </c:pt>
                <c:pt idx="13">
                  <c:v>59.604166666666664</c:v>
                </c:pt>
                <c:pt idx="14">
                  <c:v>60.129999999999995</c:v>
                </c:pt>
                <c:pt idx="15">
                  <c:v>55.356666666666662</c:v>
                </c:pt>
                <c:pt idx="16">
                  <c:v>58.554166666666667</c:v>
                </c:pt>
                <c:pt idx="17">
                  <c:v>59.682500000000005</c:v>
                </c:pt>
                <c:pt idx="18">
                  <c:v>60.255999999999993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2-4E0A-AF34-5242FAA51E2A}"/>
            </c:ext>
          </c:extLst>
        </c:ser>
        <c:ser>
          <c:idx val="1"/>
          <c:order val="1"/>
          <c:tx>
            <c:strRef>
              <c:f>'Indicadores PEA'!$D$20</c:f>
              <c:strCache>
                <c:ptCount val="1"/>
                <c:pt idx="0">
                  <c:v>No PEA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'Indicadores PEA'!$B$21:$B$40</c:f>
              <c:strCache>
                <c:ptCount val="1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</c:strCache>
            </c:strRef>
          </c:cat>
          <c:val>
            <c:numRef>
              <c:f>'Indicadores PEA'!$D$21:$D$40</c:f>
              <c:numCache>
                <c:formatCode>0.000</c:formatCode>
                <c:ptCount val="19"/>
                <c:pt idx="0">
                  <c:v>40.697499999999998</c:v>
                </c:pt>
                <c:pt idx="1">
                  <c:v>39.914166666666667</c:v>
                </c:pt>
                <c:pt idx="2">
                  <c:v>39.950833333333335</c:v>
                </c:pt>
                <c:pt idx="3">
                  <c:v>40.098333333333336</c:v>
                </c:pt>
                <c:pt idx="4">
                  <c:v>40.131666666666668</c:v>
                </c:pt>
                <c:pt idx="5">
                  <c:v>40.369999999999997</c:v>
                </c:pt>
                <c:pt idx="6">
                  <c:v>40.270833333333336</c:v>
                </c:pt>
                <c:pt idx="7">
                  <c:v>39.62916666666667</c:v>
                </c:pt>
                <c:pt idx="8">
                  <c:v>39.615000000000002</c:v>
                </c:pt>
                <c:pt idx="9">
                  <c:v>40.144166666666671</c:v>
                </c:pt>
                <c:pt idx="10">
                  <c:v>40.138333333333328</c:v>
                </c:pt>
                <c:pt idx="11">
                  <c:v>40.276666666666664</c:v>
                </c:pt>
                <c:pt idx="12">
                  <c:v>40.639166666666668</c:v>
                </c:pt>
                <c:pt idx="13">
                  <c:v>40.395833333333336</c:v>
                </c:pt>
                <c:pt idx="14">
                  <c:v>39.869999999999997</c:v>
                </c:pt>
                <c:pt idx="15">
                  <c:v>44.643333333333338</c:v>
                </c:pt>
                <c:pt idx="16">
                  <c:v>41.445833333333333</c:v>
                </c:pt>
                <c:pt idx="17">
                  <c:v>40.317500000000003</c:v>
                </c:pt>
                <c:pt idx="18">
                  <c:v>39.744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C2-4E0A-AF34-5242FAA51E2A}"/>
            </c:ext>
          </c:extLst>
        </c:ser>
        <c:ser>
          <c:idx val="2"/>
          <c:order val="2"/>
          <c:tx>
            <c:strRef>
              <c:f>'Indicadores PEA'!$E$20</c:f>
              <c:strCache>
                <c:ptCount val="1"/>
                <c:pt idx="0">
                  <c:v>PEA Ocupada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'Indicadores PEA'!$B$21:$B$40</c:f>
              <c:strCache>
                <c:ptCount val="1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</c:strCache>
            </c:strRef>
          </c:cat>
          <c:val>
            <c:numRef>
              <c:f>'Indicadores PEA'!$E$21:$E$40</c:f>
              <c:numCache>
                <c:formatCode>0.000</c:formatCode>
                <c:ptCount val="19"/>
                <c:pt idx="0">
                  <c:v>96.52</c:v>
                </c:pt>
                <c:pt idx="1">
                  <c:v>96.469999999999985</c:v>
                </c:pt>
                <c:pt idx="2">
                  <c:v>96.384999999999991</c:v>
                </c:pt>
                <c:pt idx="3">
                  <c:v>96.116666666666674</c:v>
                </c:pt>
                <c:pt idx="4">
                  <c:v>94.660000000000011</c:v>
                </c:pt>
                <c:pt idx="5">
                  <c:v>94.724166666666676</c:v>
                </c:pt>
                <c:pt idx="6">
                  <c:v>94.824166666666656</c:v>
                </c:pt>
                <c:pt idx="7">
                  <c:v>95.110833333333332</c:v>
                </c:pt>
                <c:pt idx="8">
                  <c:v>95.057500000000005</c:v>
                </c:pt>
                <c:pt idx="9">
                  <c:v>95.161666666666676</c:v>
                </c:pt>
                <c:pt idx="10">
                  <c:v>95.649166666666659</c:v>
                </c:pt>
                <c:pt idx="11">
                  <c:v>96.122500000000002</c:v>
                </c:pt>
                <c:pt idx="12">
                  <c:v>96.58</c:v>
                </c:pt>
                <c:pt idx="13">
                  <c:v>96.68</c:v>
                </c:pt>
                <c:pt idx="14">
                  <c:v>96.509166666666673</c:v>
                </c:pt>
                <c:pt idx="15">
                  <c:v>95.568333333333328</c:v>
                </c:pt>
                <c:pt idx="16">
                  <c:v>95.86333333333333</c:v>
                </c:pt>
                <c:pt idx="17">
                  <c:v>96.726666666666674</c:v>
                </c:pt>
                <c:pt idx="18">
                  <c:v>97.227999999999994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C2-4E0A-AF34-5242FAA51E2A}"/>
            </c:ext>
          </c:extLst>
        </c:ser>
        <c:ser>
          <c:idx val="3"/>
          <c:order val="3"/>
          <c:tx>
            <c:strRef>
              <c:f>'Indicadores PEA'!$F$20</c:f>
              <c:strCache>
                <c:ptCount val="1"/>
                <c:pt idx="0">
                  <c:v>PEA Desocupada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'Indicadores PEA'!$B$21:$B$40</c:f>
              <c:strCache>
                <c:ptCount val="1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</c:strCache>
            </c:strRef>
          </c:cat>
          <c:val>
            <c:numRef>
              <c:f>'Indicadores PEA'!$F$21:$F$40</c:f>
              <c:numCache>
                <c:formatCode>0.000</c:formatCode>
                <c:ptCount val="19"/>
                <c:pt idx="0">
                  <c:v>3.48</c:v>
                </c:pt>
                <c:pt idx="1">
                  <c:v>3.53</c:v>
                </c:pt>
                <c:pt idx="2">
                  <c:v>3.6149999999999998</c:v>
                </c:pt>
                <c:pt idx="3">
                  <c:v>3.8833333333333333</c:v>
                </c:pt>
                <c:pt idx="4">
                  <c:v>5.34</c:v>
                </c:pt>
                <c:pt idx="5">
                  <c:v>5.2758333333333338</c:v>
                </c:pt>
                <c:pt idx="6">
                  <c:v>5.1758333333333333</c:v>
                </c:pt>
                <c:pt idx="7">
                  <c:v>4.8891666666666671</c:v>
                </c:pt>
                <c:pt idx="8">
                  <c:v>4.9424999999999999</c:v>
                </c:pt>
                <c:pt idx="9">
                  <c:v>4.8383333333333338</c:v>
                </c:pt>
                <c:pt idx="10">
                  <c:v>4.3508333333333331</c:v>
                </c:pt>
                <c:pt idx="11">
                  <c:v>3.8774999999999999</c:v>
                </c:pt>
                <c:pt idx="12">
                  <c:v>3.42</c:v>
                </c:pt>
                <c:pt idx="13">
                  <c:v>3.3200000000000003</c:v>
                </c:pt>
                <c:pt idx="14">
                  <c:v>3.4908333333333332</c:v>
                </c:pt>
                <c:pt idx="15">
                  <c:v>4.4316666666666666</c:v>
                </c:pt>
                <c:pt idx="16">
                  <c:v>4.1366666666666667</c:v>
                </c:pt>
                <c:pt idx="17">
                  <c:v>3.2733333333333334</c:v>
                </c:pt>
                <c:pt idx="18">
                  <c:v>2.7719999999999998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C2-4E0A-AF34-5242FAA51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233248"/>
        <c:axId val="984788767"/>
      </c:lineChart>
      <c:catAx>
        <c:axId val="77423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4788767"/>
        <c:crosses val="autoZero"/>
        <c:auto val="1"/>
        <c:lblAlgn val="ctr"/>
        <c:lblOffset val="100"/>
        <c:noMultiLvlLbl val="0"/>
      </c:catAx>
      <c:valAx>
        <c:axId val="98478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23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/>
              <a:t>Composición PEA vs NPEA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D75-44CA-AFC1-BDF9C8BF63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D75-44CA-AFC1-BDF9C8BF63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D75-44CA-AFC1-BDF9C8BF63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D75-44CA-AFC1-BDF9C8BF63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D75-44CA-AFC1-BDF9C8BF63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D75-44CA-AFC1-BDF9C8BF634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D75-44CA-AFC1-BDF9C8BF634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D75-44CA-AFC1-BDF9C8BF63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('Indicadores PEA'!$H$9:$H$12,'Indicadores PEA'!$H$15:$H$18)</c:f>
              <c:numCache>
                <c:formatCode>General</c:formatCode>
                <c:ptCount val="8"/>
                <c:pt idx="0">
                  <c:v>60.255999999999993</c:v>
                </c:pt>
                <c:pt idx="4">
                  <c:v>39.744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4-405E-8CC6-0CFD67E427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23811</xdr:colOff>
      <xdr:row>6</xdr:row>
      <xdr:rowOff>228600</xdr:rowOff>
    </xdr:from>
    <xdr:to>
      <xdr:col>5</xdr:col>
      <xdr:colOff>1171575</xdr:colOff>
      <xdr:row>18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6EEA7E-27DC-4574-9D98-F26CC6FBE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109537</xdr:colOff>
      <xdr:row>18</xdr:row>
      <xdr:rowOff>242886</xdr:rowOff>
    </xdr:from>
    <xdr:to>
      <xdr:col>10</xdr:col>
      <xdr:colOff>9525</xdr:colOff>
      <xdr:row>35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A91E2B-7CEC-CFDA-2AF6-3D25A3ED3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104775</xdr:colOff>
      <xdr:row>6</xdr:row>
      <xdr:rowOff>238125</xdr:rowOff>
    </xdr:from>
    <xdr:to>
      <xdr:col>10</xdr:col>
      <xdr:colOff>509587</xdr:colOff>
      <xdr:row>18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0BB2FE-682D-9125-BBFA-88729F7372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352425</xdr:colOff>
      <xdr:row>0</xdr:row>
      <xdr:rowOff>104775</xdr:rowOff>
    </xdr:from>
    <xdr:to>
      <xdr:col>11</xdr:col>
      <xdr:colOff>2152650</xdr:colOff>
      <xdr:row>1</xdr:row>
      <xdr:rowOff>303609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166C9A0-5BAF-3D63-072C-40F8D4BEC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44275" y="104775"/>
          <a:ext cx="2381250" cy="44648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Flores Palacios" refreshedDate="45121.430259375004" createdVersion="8" refreshedVersion="8" minRefreshableVersion="3" recordCount="19" xr:uid="{BF189DA1-43E4-43E0-95BA-5EAE60D87A54}">
  <cacheSource type="worksheet">
    <worksheetSource name="Table_bie_by_year_resampled"/>
  </cacheSource>
  <cacheFields count="300">
    <cacheField name="periodo" numFmtId="165">
      <sharedItems containsSemiMixedTypes="0" containsNonDate="0" containsDate="1" containsString="0" minDate="2005-01-01T00:00:00" maxDate="2023-01-02T00:00:00" count="19">
        <d v="2005-01-01T00:00:00"/>
        <d v="2006-01-01T00:00:00"/>
        <d v="2007-01-01T00:00:00"/>
        <d v="2008-01-01T00:00:00"/>
        <d v="2009-01-01T00:00:00"/>
        <d v="2010-01-01T00:00:00"/>
        <d v="2011-01-01T00:00:00"/>
        <d v="2012-01-01T00:00:00"/>
        <d v="2013-01-01T00:00:00"/>
        <d v="2014-01-01T00:00:00"/>
        <d v="2015-01-01T00:00:00"/>
        <d v="2016-01-01T00:00:00"/>
        <d v="2017-01-01T00:00:00"/>
        <d v="2018-01-01T00:00:00"/>
        <d v="2019-01-01T00:00:00"/>
        <d v="2020-01-01T00:00:00"/>
        <d v="2021-01-01T00:00:00"/>
        <d v="2022-01-01T00:00:00"/>
        <d v="2023-01-01T00:00:00"/>
      </sharedItems>
      <fieldGroup par="299"/>
    </cacheField>
    <cacheField name="a_pea" numFmtId="164">
      <sharedItems containsSemiMixedTypes="0" containsString="0" containsNumber="1" minValue="55.356666666666662" maxValue="60.384999999999998" count="19">
        <n v="59.302500000000002"/>
        <n v="60.085833333333333"/>
        <n v="60.049166666666672"/>
        <n v="59.901666666666671"/>
        <n v="59.868333333333332"/>
        <n v="59.629999999999995"/>
        <n v="59.729166666666664"/>
        <n v="60.370833333333337"/>
        <n v="60.384999999999998"/>
        <n v="59.855833333333329"/>
        <n v="59.861666666666672"/>
        <n v="59.723333333333336"/>
        <n v="59.360833333333339"/>
        <n v="59.604166666666664"/>
        <n v="60.129999999999995"/>
        <n v="55.356666666666662"/>
        <n v="58.554166666666667"/>
        <n v="59.682500000000005"/>
        <n v="60.255999999999993"/>
      </sharedItems>
    </cacheField>
    <cacheField name="a_npea" numFmtId="164">
      <sharedItems containsSemiMixedTypes="0" containsString="0" containsNumber="1" minValue="39.615000000000002" maxValue="44.643333333333338" count="19">
        <n v="40.697499999999998"/>
        <n v="39.914166666666667"/>
        <n v="39.950833333333335"/>
        <n v="40.098333333333336"/>
        <n v="40.131666666666668"/>
        <n v="40.369999999999997"/>
        <n v="40.270833333333336"/>
        <n v="39.62916666666667"/>
        <n v="39.615000000000002"/>
        <n v="40.144166666666671"/>
        <n v="40.138333333333328"/>
        <n v="40.276666666666664"/>
        <n v="40.639166666666668"/>
        <n v="40.395833333333336"/>
        <n v="39.869999999999997"/>
        <n v="44.643333333333338"/>
        <n v="41.445833333333333"/>
        <n v="40.317500000000003"/>
        <n v="39.744"/>
      </sharedItems>
    </cacheField>
    <cacheField name="a_pea_ocupada" numFmtId="164">
      <sharedItems containsSemiMixedTypes="0" containsString="0" containsNumber="1" minValue="94.660000000000011" maxValue="97.227999999999994" count="19">
        <n v="96.52"/>
        <n v="96.469999999999985"/>
        <n v="96.384999999999991"/>
        <n v="96.116666666666674"/>
        <n v="94.660000000000011"/>
        <n v="94.724166666666676"/>
        <n v="94.824166666666656"/>
        <n v="95.110833333333332"/>
        <n v="95.057500000000005"/>
        <n v="95.161666666666676"/>
        <n v="95.649166666666659"/>
        <n v="96.122500000000002"/>
        <n v="96.58"/>
        <n v="96.68"/>
        <n v="96.509166666666673"/>
        <n v="95.568333333333328"/>
        <n v="95.86333333333333"/>
        <n v="96.726666666666674"/>
        <n v="97.227999999999994"/>
      </sharedItems>
    </cacheField>
    <cacheField name="a_pea_desocupada" numFmtId="164">
      <sharedItems containsSemiMixedTypes="0" containsString="0" containsNumber="1" minValue="2.7719999999999998" maxValue="5.34" count="19">
        <n v="3.48"/>
        <n v="3.53"/>
        <n v="3.6149999999999998"/>
        <n v="3.8833333333333333"/>
        <n v="5.34"/>
        <n v="5.2758333333333338"/>
        <n v="5.1758333333333333"/>
        <n v="4.8891666666666671"/>
        <n v="4.9424999999999999"/>
        <n v="4.8383333333333338"/>
        <n v="4.3508333333333331"/>
        <n v="3.8774999999999999"/>
        <n v="3.42"/>
        <n v="3.3200000000000003"/>
        <n v="3.4908333333333332"/>
        <n v="4.4316666666666666"/>
        <n v="4.1366666666666667"/>
        <n v="3.2733333333333334"/>
        <n v="2.7719999999999998"/>
      </sharedItems>
    </cacheField>
    <cacheField name="b_pob_ocupada_instruccion_primaria_incompleta" numFmtId="164">
      <sharedItems containsSemiMixedTypes="0" containsString="0" containsNumber="1" minValue="8.51" maxValue="21.397499999999997"/>
    </cacheField>
    <cacheField name="b_pob_ocupada_instruccion_primaria_completa" numFmtId="164">
      <sharedItems containsSemiMixedTypes="0" containsString="0" containsNumber="1" minValue="15.087999999999999" maxValue="23.178333333333331"/>
    </cacheField>
    <cacheField name="b_pob_ocupada_instruccion_secundaria_completa" numFmtId="164">
      <sharedItems containsSemiMixedTypes="0" containsString="0" containsNumber="1" minValue="30.964166666666667" maxValue="34.448333333333331"/>
    </cacheField>
    <cacheField name="b_pob_ocupada_instruccion_mediasuperior_superior" numFmtId="164">
      <sharedItems containsSemiMixedTypes="0" containsString="0" containsNumber="1" minValue="24.355833333333333" maxValue="43.594000000000001"/>
    </cacheField>
    <cacheField name="b_pob_ocupada_instruccion_no_especificado" numFmtId="164">
      <sharedItems containsSemiMixedTypes="0" containsString="0" containsNumber="1" minValue="3.6666666666666667E-2" maxValue="0.10249999999999999"/>
    </cacheField>
    <cacheField name="c_pob_ocupada_posicion_subordinados_renumerados" numFmtId="164">
      <sharedItems containsSemiMixedTypes="0" containsString="0" containsNumber="1" minValue="64.148333333333326" maxValue="69.541666666666671"/>
    </cacheField>
    <cacheField name="c_pob_ocupada_posicion_empleadores" numFmtId="164">
      <sharedItems containsSemiMixedTypes="0" containsString="0" containsNumber="1" minValue="4.1725000000000003" maxValue="5.2919999999999998"/>
    </cacheField>
    <cacheField name="c_pob_ocupada_posicion_cuenta_propia" numFmtId="164">
      <sharedItems containsSemiMixedTypes="0" containsString="0" containsNumber="1" minValue="21.64916666666667" maxValue="23.864166666666666"/>
    </cacheField>
    <cacheField name="c_pob_ocupada_posicion_no_remunerados" numFmtId="164">
      <sharedItems containsSemiMixedTypes="0" containsString="0" containsNumber="1" minValue="3.9060000000000001" maxValue="7.2808333333333337"/>
    </cacheField>
    <cacheField name="c_pob_ocupada_posicion_no_especificado" numFmtId="164">
      <sharedItems containsSemiMixedTypes="0" containsString="0" containsNumber="1" containsInteger="1" minValue="0" maxValue="0"/>
    </cacheField>
    <cacheField name="d_pob_ocupada_actividad_total" numFmtId="164">
      <sharedItems containsString="0" containsBlank="1" containsNumber="1" containsInteger="1" minValue="100" maxValue="100"/>
    </cacheField>
    <cacheField name="d_pob_ocupada_actividad_primario" numFmtId="164">
      <sharedItems containsString="0" containsBlank="1" containsNumber="1" minValue="11.28" maxValue="13.455833333333333"/>
    </cacheField>
    <cacheField name="d_pob_ocupada_actividad_secundario_total" numFmtId="164">
      <sharedItems containsString="0" containsBlank="1" containsNumber="1" minValue="23.919166666666666" maxValue="25.71083333333333"/>
    </cacheField>
    <cacheField name="d_pob_ocupada_actividad_secundario_extract_electri" numFmtId="164">
      <sharedItems containsString="0" containsBlank="1" containsNumber="1" minValue="2.6274999999999999" maxValue="3.5816666666666666"/>
    </cacheField>
    <cacheField name="d_pob_ocupada_actividad_secundario_manufacturera" numFmtId="164">
      <sharedItems containsString="0" containsBlank="1" containsNumber="1" minValue="64.774166666666659" maxValue="66.759166666666673"/>
    </cacheField>
    <cacheField name="d_pob_ocupada_actividad_secundario_construccion" numFmtId="164">
      <sharedItems containsString="0" containsBlank="1" containsNumber="1" minValue="30.515833333333333" maxValue="32.204166666666673"/>
    </cacheField>
    <cacheField name="d_pob_ocupada_actividad_terciario_total" numFmtId="164">
      <sharedItems containsString="0" containsBlank="1" containsNumber="1" minValue="60.903333333333336" maxValue="63.141999999999996"/>
    </cacheField>
    <cacheField name="d_pob_ocupada_actividad_terciario_comercio" numFmtId="164">
      <sharedItems containsString="0" containsBlank="1" containsNumber="1" minValue="30.243333333333336" maxValue="31.632499999999997"/>
    </cacheField>
    <cacheField name="d_pob_ocupada_actividad_terciario_rest_alojamiento" numFmtId="164">
      <sharedItems containsString="0" containsBlank="1" containsNumber="1" minValue="11.036666666666667" maxValue="12.862499999999999"/>
    </cacheField>
    <cacheField name="d_pob_ocupada_actividad_terciario_trans_com_corr_alm" numFmtId="164">
      <sharedItems containsString="0" containsBlank="1" containsNumber="1" minValue="8.0133333333333336" maxValue="8.59"/>
    </cacheField>
    <cacheField name="d_pob_ocupada_actividad_terciario_serv_prof_fin_corp" numFmtId="164">
      <sharedItems containsString="0" containsBlank="1" containsNumber="1" minValue="10.968333333333334" maxValue="12.361999999999998"/>
    </cacheField>
    <cacheField name="d_pob_ocupada_actividad_economica_terciario_serv_soc" numFmtId="164">
      <sharedItems containsString="0" containsBlank="1" containsNumber="1" minValue="12.624166666666667" maxValue="13.615"/>
    </cacheField>
    <cacheField name="d_pob_ocupada_actividad_economica_terciario_serv_div" numFmtId="164">
      <sharedItems containsString="0" containsBlank="1" containsNumber="1" minValue="15.940833333333332" maxValue="17.241666666666667"/>
    </cacheField>
    <cacheField name="d_pob_ocupada_actividad_terciario_gobierno_org_inter" numFmtId="164">
      <sharedItems containsString="0" containsBlank="1" containsNumber="1" minValue="6.3366666666666669" maxValue="8.8983333333333334"/>
    </cacheField>
    <cacheField name="d_pob_ocupada_actividad_economica_no_especificado" numFmtId="164">
      <sharedItems containsString="0" containsBlank="1" containsNumber="1" minValue="0.52500000000000002" maxValue="0.622"/>
    </cacheField>
    <cacheField name="b_pob_desocupada_instruccion_primaria_incompleta" numFmtId="164">
      <sharedItems containsSemiMixedTypes="0" containsString="0" containsNumber="1" minValue="3.524" maxValue="11.768333333333333"/>
    </cacheField>
    <cacheField name="b_pob_desocupada_instruccion_primaria_completa" numFmtId="164">
      <sharedItems containsSemiMixedTypes="0" containsString="0" containsNumber="1" minValue="9.4580000000000002" maxValue="20.844166666666666"/>
    </cacheField>
    <cacheField name="b_pob_desocupada_instruccion_secundaria_completa" numFmtId="164">
      <sharedItems containsSemiMixedTypes="0" containsString="0" containsNumber="1" minValue="31.265833333333333" maxValue="37.912500000000001"/>
    </cacheField>
    <cacheField name="b_pob_desocupada_instruccion_mediasuperior_superior" numFmtId="164">
      <sharedItems containsSemiMixedTypes="0" containsString="0" containsNumber="1" minValue="31.170833333333334" maxValue="55.516666666666673"/>
    </cacheField>
    <cacheField name="b_pob_desocupada_instruccion_no_especificado" numFmtId="164">
      <sharedItems containsSemiMixedTypes="0" containsString="0" containsNumber="1" minValue="7.5000000000000006E-3" maxValue="7.166666666666667E-2"/>
    </cacheField>
    <cacheField name="e_pob_desocupada_antecedentes_con_experiencia" numFmtId="164">
      <sharedItems containsSemiMixedTypes="0" containsString="0" containsNumber="1" minValue="86.567499999999995" maxValue="94.000833333333333"/>
    </cacheField>
    <cacheField name="e_pob_desocupada_antecedentes_sin_experiencia" numFmtId="164">
      <sharedItems containsSemiMixedTypes="0" containsString="0" containsNumber="1" minValue="6.0408333333333326" maxValue="13.432499999999999"/>
    </cacheField>
    <cacheField name="b_pob_subocupada_instruccion_primaria_incompleta" numFmtId="164">
      <sharedItems containsSemiMixedTypes="0" containsString="0" containsNumber="1" minValue="10.83" maxValue="25.520833333333332"/>
    </cacheField>
    <cacheField name="b_pob_subocupada_instruccion_primaria_completa" numFmtId="164">
      <sharedItems containsSemiMixedTypes="0" containsString="0" containsNumber="1" minValue="17.727499999999999" maxValue="26.146666666666665"/>
    </cacheField>
    <cacheField name="b_pob_subocupada_instruccion_secundaria_completa" numFmtId="164">
      <sharedItems containsSemiMixedTypes="0" containsString="0" containsNumber="1" minValue="29.296666666666667" maxValue="35.891666666666666"/>
    </cacheField>
    <cacheField name="b_pob_subocupada_instruccion_mediasuperior_superior" numFmtId="164">
      <sharedItems containsSemiMixedTypes="0" containsString="0" containsNumber="1" minValue="19.408333333333335" maxValue="36.670833333333334"/>
    </cacheField>
    <cacheField name="b_pob_subocupada_instruccion_no_especificado" numFmtId="164">
      <sharedItems containsSemiMixedTypes="0" containsString="0" containsNumber="1" minValue="1.7500000000000002E-2" maxValue="0.10833333333333334"/>
    </cacheField>
    <cacheField name="c_pob_subocupada_posicion_subordinados_renumerados" numFmtId="164">
      <sharedItems containsSemiMixedTypes="0" containsString="0" containsNumber="1" minValue="44.471666666666664" maxValue="53.211666666666666"/>
    </cacheField>
    <cacheField name="c_pob_subocupada_posicion_empleadores" numFmtId="164">
      <sharedItems containsSemiMixedTypes="0" containsString="0" containsNumber="1" minValue="4.7474999999999996" maxValue="6.194"/>
    </cacheField>
    <cacheField name="c_pob_subocupada_posicion_cuenta_propia" numFmtId="164">
      <sharedItems containsSemiMixedTypes="0" containsString="0" containsNumber="1" minValue="35.551666666666669" maxValue="44.34"/>
    </cacheField>
    <cacheField name="c_pob_subocupada_posicion_no_remunerados" numFmtId="164">
      <sharedItems containsSemiMixedTypes="0" containsString="0" containsNumber="1" minValue="4.5766666666666671" maxValue="7.4483333333333333"/>
    </cacheField>
    <cacheField name="c_pob_subocupada_posicion_no_especificado" numFmtId="164">
      <sharedItems containsSemiMixedTypes="0" containsString="0" containsNumber="1" containsInteger="1" minValue="0" maxValue="0"/>
    </cacheField>
    <cacheField name="d_pob_subocupada_actividad_total" numFmtId="164">
      <sharedItems containsString="0" containsBlank="1" containsNumber="1" containsInteger="1" minValue="100" maxValue="100"/>
    </cacheField>
    <cacheField name="d_pob_subocupada_actividad_primario" numFmtId="164">
      <sharedItems containsString="0" containsBlank="1" containsNumber="1" minValue="10.926666666666668" maxValue="18.113333333333333"/>
    </cacheField>
    <cacheField name="d_pob_subocupada_actividad_secundario_total" numFmtId="164">
      <sharedItems containsString="0" containsBlank="1" containsNumber="1" minValue="22.795000000000002" maxValue="24.935833333333335"/>
    </cacheField>
    <cacheField name="d_pob_subocupada_actividad_secundario_extract_electri" numFmtId="164">
      <sharedItems containsString="0" containsBlank="1" containsNumber="1" minValue="0.73333333333333339" maxValue="1.4083333333333332"/>
    </cacheField>
    <cacheField name="d_pob_subocupada_actividad_secundario_manufacturera" numFmtId="164">
      <sharedItems containsString="0" containsBlank="1" containsNumber="1" minValue="47.819166666666668" maxValue="56.924166666666672"/>
    </cacheField>
    <cacheField name="d_pob_subocupada_actividad_secundario_construccion" numFmtId="164">
      <sharedItems containsString="0" containsBlank="1" containsNumber="1" minValue="41.914000000000001" maxValue="50.960833333333333"/>
    </cacheField>
    <cacheField name="d_pob_subocupada_actividad_terciario_total" numFmtId="164">
      <sharedItems containsString="0" containsBlank="1" containsNumber="1" minValue="56.638333333333328" maxValue="65.733333333333334"/>
    </cacheField>
    <cacheField name="d_pob_subocupada_actividad_terciario_comercio" numFmtId="164">
      <sharedItems containsString="0" containsBlank="1" containsNumber="1" minValue="32.75" maxValue="36.821999999999996"/>
    </cacheField>
    <cacheField name="d_pob_subocupada_actividad_terciario_rest_alojamiento" numFmtId="164">
      <sharedItems containsString="0" containsBlank="1" containsNumber="1" minValue="12.548333333333334" maxValue="14.645833333333334"/>
    </cacheField>
    <cacheField name="d_pob_subocupada_actividad_terciario_trans_com_corr_alm" numFmtId="164">
      <sharedItems containsString="0" containsBlank="1" containsNumber="1" minValue="7.9233333333333329" maxValue="9.0525000000000002"/>
    </cacheField>
    <cacheField name="d_pob_subocupada_actividad_terciario_serv_prof_fin_corp" numFmtId="164">
      <sharedItems containsString="0" containsBlank="1" containsNumber="1" minValue="9.7575000000000003" maxValue="10.542"/>
    </cacheField>
    <cacheField name="d_pob_subocupada_actividad_economica_terciario_serv_soc" numFmtId="164">
      <sharedItems containsString="0" containsBlank="1" containsNumber="1" minValue="6.0058333333333325" maxValue="9.9741666666666671"/>
    </cacheField>
    <cacheField name="d_pob_subocupada_actividad_economica_terciario_serv_div" numFmtId="164">
      <sharedItems containsString="0" containsBlank="1" containsNumber="1" minValue="20.435833333333335" maxValue="25.053333333333331"/>
    </cacheField>
    <cacheField name="d_pob_subocupada_actividad_terciario_gobierno_org_inter" numFmtId="164">
      <sharedItems containsString="0" containsBlank="1" containsNumber="1" minValue="1.55" maxValue="3.0816666666666666"/>
    </cacheField>
    <cacheField name="d_pob_subocupada_actividad_economica_no_especificado" numFmtId="164">
      <sharedItems containsString="0" containsBlank="1" containsNumber="1" minValue="0.44416666666666665" maxValue="0.64916666666666667"/>
    </cacheField>
    <cacheField name="f_tasa_participacion" numFmtId="164">
      <sharedItems containsSemiMixedTypes="0" containsString="0" containsNumber="1" minValue="55.356666666666662" maxValue="60.384999999999998"/>
    </cacheField>
    <cacheField name="f_tasa_desocupacion" numFmtId="164">
      <sharedItems containsSemiMixedTypes="0" containsString="0" containsNumber="1" minValue="2.7719999999999998" maxValue="5.34"/>
    </cacheField>
    <cacheField name="f_tasas_cmplementarias_ocupacionparcial_desocupacion" numFmtId="164">
      <sharedItems containsSemiMixedTypes="0" containsString="0" containsNumber="1" minValue="8.8580000000000005" maxValue="11.648333333333333"/>
    </cacheField>
    <cacheField name="f_tasas_complementarias_presion_general" numFmtId="164">
      <sharedItems containsSemiMixedTypes="0" containsString="0" containsNumber="1" minValue="5.8980000000000006" maxValue="9.2216666666666658"/>
    </cacheField>
    <cacheField name="f_tasas_complementarias_trabajo_asalariado" numFmtId="164">
      <sharedItems containsSemiMixedTypes="0" containsString="0" containsNumber="1" minValue="58.743333333333332" maxValue="66.277500000000003"/>
    </cacheField>
    <cacheField name="f_tasas_complementarias_subocupacion" numFmtId="164">
      <sharedItems containsSemiMixedTypes="0" containsString="0" containsNumber="1" minValue="6.8624999999999998" maxValue="16.337500000000002"/>
    </cacheField>
    <cacheField name="f_tasas_complementarias_condiciones_criticas_ocupacion" numFmtId="164">
      <sharedItems containsSemiMixedTypes="0" containsString="0" containsNumber="1" minValue="10.672499999999999" maxValue="32.024000000000001"/>
    </cacheField>
    <cacheField name="f_tasas_complementarias_ocupacion_sector_informal" numFmtId="164">
      <sharedItems containsSemiMixedTypes="0" containsString="0" containsNumber="1" minValue="26.408333333333331" maxValue="28.75"/>
    </cacheField>
    <cacheField name="f_tasas_complementarias_informalidad_laboral" numFmtId="164">
      <sharedItems containsSemiMixedTypes="0" containsString="0" containsNumber="1" minValue="54.423333333333339" maxValue="60.071666666666665"/>
    </cacheField>
    <cacheField name="g_pea15h" numFmtId="164">
      <sharedItems containsSemiMixedTypes="0" containsString="0" containsNumber="1" minValue="71.5625" maxValue="80.804999999999993"/>
    </cacheField>
    <cacheField name="g_npea15h" numFmtId="164">
      <sharedItems containsSemiMixedTypes="0" containsString="0" containsNumber="1" minValue="19.195" maxValue="28.4375"/>
    </cacheField>
    <cacheField name="g_pea15h_ocupada" numFmtId="164">
      <sharedItems containsSemiMixedTypes="0" containsString="0" containsNumber="1" minValue="94.649999999999991" maxValue="97.253999999999991"/>
    </cacheField>
    <cacheField name="g_pea15h_desocupada" numFmtId="164">
      <sharedItems containsSemiMixedTypes="0" containsString="0" containsNumber="1" minValue="2.746" maxValue="5.3500000000000005"/>
    </cacheField>
    <cacheField name="b_pea15h_ocupada_instruccion_primaria_incompleta" numFmtId="164">
      <sharedItems containsSemiMixedTypes="0" containsString="0" containsNumber="1" minValue="9.41" maxValue="22.55"/>
    </cacheField>
    <cacheField name="b_pea15h_ocupada_instruccion_primaria_completa" numFmtId="164">
      <sharedItems containsSemiMixedTypes="0" containsString="0" containsNumber="1" minValue="16.238" maxValue="23.969166666666666"/>
    </cacheField>
    <cacheField name="b_pea15h_ocupada_instruccion_secundaria_completa" numFmtId="164">
      <sharedItems containsSemiMixedTypes="0" containsString="0" containsNumber="1" minValue="29.77" maxValue="34.583333333333336"/>
    </cacheField>
    <cacheField name="b_pea15h_ocupada_instruccion_mediasuperior_superior" numFmtId="164">
      <sharedItems containsSemiMixedTypes="0" containsString="0" containsNumber="1" minValue="23.5825" maxValue="41.298000000000002"/>
    </cacheField>
    <cacheField name="b_pea15h_ocupada_instruccion_no_especificado" numFmtId="164">
      <sharedItems containsSemiMixedTypes="0" containsString="0" containsNumber="1" minValue="3.6666666666666667E-2" maxValue="0.12666666666666668"/>
    </cacheField>
    <cacheField name="c_pea15h_ocupada_posicion_subordinados_renumerados" numFmtId="164">
      <sharedItems containsSemiMixedTypes="0" containsString="0" containsNumber="1" minValue="64.033333333333331" maxValue="69.024999999999991"/>
    </cacheField>
    <cacheField name="c_pea15h_ocupada_posicion_empleadores" numFmtId="164">
      <sharedItems containsSemiMixedTypes="0" containsString="0" containsNumber="1" minValue="5.3949999999999996" maxValue="6.918000000000001"/>
    </cacheField>
    <cacheField name="c_pea15h_ocupada_posicion_cuenta_propia" numFmtId="164">
      <sharedItems containsSemiMixedTypes="0" containsString="0" containsNumber="1" minValue="21.805833333333336" maxValue="24.574999999999999"/>
    </cacheField>
    <cacheField name="c_pea15h_ocupada_posicion_no_remunerados" numFmtId="164">
      <sharedItems containsSemiMixedTypes="0" containsString="0" containsNumber="1" minValue="2.6759999999999997" maxValue="5.184166666666667"/>
    </cacheField>
    <cacheField name="c_pea15h_ocupada_posicion_no_especificado" numFmtId="164">
      <sharedItems containsSemiMixedTypes="0" containsString="0" containsNumber="1" containsInteger="1" minValue="0" maxValue="0"/>
    </cacheField>
    <cacheField name="d_pea15h_ocupada_actividad_total" numFmtId="164">
      <sharedItems containsString="0" containsBlank="1" containsNumber="1" containsInteger="1" minValue="100" maxValue="100"/>
    </cacheField>
    <cacheField name="d_pea15h_ocupada_actividad_primario" numFmtId="164">
      <sharedItems containsString="0" containsBlank="1" containsNumber="1" minValue="16.253999999999998" maxValue="19.378333333333334"/>
    </cacheField>
    <cacheField name="d_pea15h_ocupada_actividad_secundario_total" numFmtId="164">
      <sharedItems containsString="0" containsBlank="1" containsNumber="1" minValue="28.754166666666666" maxValue="30.842500000000001"/>
    </cacheField>
    <cacheField name="d_pea15h_ocupada_actividad_secundario_extract_electri" numFmtId="164">
      <sharedItems containsString="0" containsBlank="1" containsNumber="1" minValue="2.9716666666666662" maxValue="4.104166666666667"/>
    </cacheField>
    <cacheField name="d_pea15h_ocupada_actividad_secundario_manufacturera" numFmtId="164">
      <sharedItems containsString="0" containsBlank="1" containsNumber="1" minValue="54.728333333333332" maxValue="56.526666666666664"/>
    </cacheField>
    <cacheField name="d_pea15h_ocupada_actividad_secundario_construccion" numFmtId="164">
      <sharedItems containsString="0" containsBlank="1" containsNumber="1" minValue="39.810833333333335" maxValue="41.844166666666666"/>
    </cacheField>
    <cacheField name="d_pea15h_ocupada_actividad_terciario_total" numFmtId="164">
      <sharedItems containsString="0" containsBlank="1" containsNumber="1" minValue="50.189166666666665" maxValue="53.015999999999998"/>
    </cacheField>
    <cacheField name="d_pea15h_ocupada_actividad_terciario_comercio" numFmtId="164">
      <sharedItems containsString="0" containsBlank="1" containsNumber="1" minValue="28.864999999999998" maxValue="30.074166666666667"/>
    </cacheField>
    <cacheField name="d_pea15h_ocupada_actividad_terciario_rest_alojamiento" numFmtId="164">
      <sharedItems containsString="0" containsBlank="1" containsNumber="1" minValue="8.7708333333333339" maxValue="10.526666666666667"/>
    </cacheField>
    <cacheField name="d_pea15h_ocupada_actividad_terciario_trans_com_corr_alm" numFmtId="164">
      <sharedItems containsString="0" containsBlank="1" containsNumber="1" minValue="13.845833333333333" maxValue="14.768333333333333"/>
    </cacheField>
    <cacheField name="d_pea15h_ocupada_actividad_terciario_serv_prof_fin_corp" numFmtId="164">
      <sharedItems containsString="0" containsBlank="1" containsNumber="1" minValue="13.036666666666667" maxValue="15.036000000000001"/>
    </cacheField>
    <cacheField name="d_pea15h_ocupada_actividad_economica_terciario_serv_soc" numFmtId="164">
      <sharedItems containsString="0" containsBlank="1" containsNumber="1" minValue="8.8483333333333345" maxValue="9.7216666666666658"/>
    </cacheField>
    <cacheField name="d_pea15h_ocupada_actividad_economica_terciario_serv_div" numFmtId="164">
      <sharedItems containsString="0" containsBlank="1" containsNumber="1" minValue="14.222" maxValue="15.445833333333333"/>
    </cacheField>
    <cacheField name="d_pea15h_ocupada_actividad_terciario_gobierno_org_inter" numFmtId="164">
      <sharedItems containsString="0" containsBlank="1" containsNumber="1" minValue="7.234" maxValue="9.5008333333333344"/>
    </cacheField>
    <cacheField name="d_pea15h_ocupada_actividad_economica_no_especificado" numFmtId="164">
      <sharedItems containsString="0" containsBlank="1" containsNumber="1" minValue="0.59250000000000003" maxValue="0.72416666666666663"/>
    </cacheField>
    <cacheField name="b_pea15h_desocupada_instruccion_primaria_incompleta" numFmtId="164">
      <sharedItems containsSemiMixedTypes="0" containsString="0" containsNumber="1" minValue="4.190833333333333" maxValue="14.577500000000001"/>
    </cacheField>
    <cacheField name="b_pea15h_desocupada_instruccion_primaria_completa" numFmtId="164">
      <sharedItems containsSemiMixedTypes="0" containsString="0" containsNumber="1" minValue="10.825833333333334" maxValue="23.896666666666665"/>
    </cacheField>
    <cacheField name="b_pea15h_desocupada_instruccion_secundaria_completa" numFmtId="164">
      <sharedItems containsSemiMixedTypes="0" containsString="0" containsNumber="1" minValue="31.868000000000002" maxValue="37.547499999999999"/>
    </cacheField>
    <cacheField name="b_pea15h_desocupada_instruccion_mediasuperior_superior" numFmtId="164">
      <sharedItems containsSemiMixedTypes="0" containsString="0" containsNumber="1" minValue="28.75" maxValue="52.646000000000001"/>
    </cacheField>
    <cacheField name="b_pea15h_desocupada_instruccion_no_especificado" numFmtId="164">
      <sharedItems containsSemiMixedTypes="0" containsString="0" containsNumber="1" minValue="0.01" maxValue="0.10833333333333334"/>
    </cacheField>
    <cacheField name="e_pea15h_desocupada_antecedentes_con_experiencia" numFmtId="164">
      <sharedItems containsSemiMixedTypes="0" containsString="0" containsNumber="1" minValue="89.888333333333335" maxValue="94.415833333333339"/>
    </cacheField>
    <cacheField name="e_pea15h_desocupada_antecedentes_sin_experiencia" numFmtId="164">
      <sharedItems containsSemiMixedTypes="0" containsString="0" containsNumber="1" minValue="5.5841666666666674" maxValue="10.111666666666666"/>
    </cacheField>
    <cacheField name="b_pea15h_subocupada_instruccion_primaria_incompleta" numFmtId="164">
      <sharedItems containsSemiMixedTypes="0" containsString="0" containsNumber="1" minValue="11.385" maxValue="26.659166666666668"/>
    </cacheField>
    <cacheField name="b_pea15h_subocupada_instruccion_primaria_completa" numFmtId="164">
      <sharedItems containsSemiMixedTypes="0" containsString="0" containsNumber="1" minValue="18.9925" maxValue="26.854166666666668"/>
    </cacheField>
    <cacheField name="b_pea15h_subocupada_instruccion_secundaria_completa" numFmtId="164">
      <sharedItems containsSemiMixedTypes="0" containsString="0" containsNumber="1" minValue="28.117500000000003" maxValue="35.648333333333333"/>
    </cacheField>
    <cacheField name="b_pea15h_subocupada_instruccion_mediasuperior_superior" numFmtId="164">
      <sharedItems containsSemiMixedTypes="0" containsString="0" containsNumber="1" minValue="18.544999999999998" maxValue="34.963333333333331"/>
    </cacheField>
    <cacheField name="b_pea15h_subocupada_instruccion_no_especificado" numFmtId="164">
      <sharedItems containsSemiMixedTypes="0" containsString="0" containsNumber="1" minValue="2.3333333333333334E-2" maxValue="0.16200000000000001"/>
    </cacheField>
    <cacheField name="c_pea15h_subocupada_posicion_subordinados_renumerados" numFmtId="164">
      <sharedItems containsSemiMixedTypes="0" containsString="0" containsNumber="1" minValue="48.384999999999998" maxValue="57.024999999999999"/>
    </cacheField>
    <cacheField name="c_pea15h_subocupada_posicion_empleadores" numFmtId="164">
      <sharedItems containsSemiMixedTypes="0" containsString="0" containsNumber="1" minValue="5.600833333333334" maxValue="7.9239999999999995"/>
    </cacheField>
    <cacheField name="c_pea15h_subocupada_posicion_cuenta_propia" numFmtId="164">
      <sharedItems containsSemiMixedTypes="0" containsString="0" containsNumber="1" minValue="32.467500000000001" maxValue="40.240833333333335"/>
    </cacheField>
    <cacheField name="c_pea15h_subocupada_posicion_no_remunerados" numFmtId="164">
      <sharedItems containsSemiMixedTypes="0" containsString="0" containsNumber="1" minValue="3.26" maxValue="5.3949999999999996"/>
    </cacheField>
    <cacheField name="c_pea15h_subocupada_posicion_no_especificado" numFmtId="164">
      <sharedItems containsSemiMixedTypes="0" containsString="0" containsNumber="1" containsInteger="1" minValue="0" maxValue="0"/>
    </cacheField>
    <cacheField name="d_pea15h_subocupada_actividad_total" numFmtId="164">
      <sharedItems containsString="0" containsBlank="1" containsNumber="1" containsInteger="1" minValue="100" maxValue="100"/>
    </cacheField>
    <cacheField name="d_pea15h_subocupada_actividad_primario" numFmtId="164">
      <sharedItems containsString="0" containsBlank="1" containsNumber="1" minValue="16" maxValue="24.53916666666667"/>
    </cacheField>
    <cacheField name="d_pea15h_subocupada_actividad_secundario_total" numFmtId="164">
      <sharedItems containsString="0" containsBlank="1" containsNumber="1" minValue="28.698333333333334" maxValue="30.643999999999998"/>
    </cacheField>
    <cacheField name="d_pea15h_subocupada_actividad_secundario_extract_electri" numFmtId="164">
      <sharedItems containsString="0" containsBlank="1" containsNumber="1" minValue="0.82" maxValue="1.5274999999999999"/>
    </cacheField>
    <cacheField name="d_pea15h_subocupada_actividad_secundario_manufacturera" numFmtId="164">
      <sharedItems containsString="0" containsBlank="1" containsNumber="1" minValue="36.614166666666669" maxValue="45.06583333333333"/>
    </cacheField>
    <cacheField name="d_pea15h_subocupada_actividad_secundario_construccion" numFmtId="164">
      <sharedItems containsString="0" containsBlank="1" containsNumber="1" minValue="53.833333333333336" maxValue="62.389999999999993"/>
    </cacheField>
    <cacheField name="d_pea15h_subocupada_actividad_terciario_total" numFmtId="164">
      <sharedItems containsString="0" containsBlank="1" containsNumber="1" minValue="45.056666666666665" maxValue="54.71"/>
    </cacheField>
    <cacheField name="d_pea15h_subocupada_actividad_terciario_comercio" numFmtId="164">
      <sharedItems containsString="0" containsBlank="1" containsNumber="1" minValue="28.431666666666668" maxValue="30.89"/>
    </cacheField>
    <cacheField name="d_pea15h_subocupada_actividad_terciario_rest_alojamiento" numFmtId="164">
      <sharedItems containsString="0" containsBlank="1" containsNumber="1" minValue="9.5483333333333338" maxValue="11.273333333333333"/>
    </cacheField>
    <cacheField name="d_pea15h_subocupada_actividad_terciario_trans_com_corr_alm" numFmtId="164">
      <sharedItems containsString="0" containsBlank="1" containsNumber="1" minValue="14.045" maxValue="16.327500000000001"/>
    </cacheField>
    <cacheField name="d_pea15h_subocupada_actividad_terciario_serv_prof_fin_corp" numFmtId="164">
      <sharedItems containsString="0" containsBlank="1" containsNumber="1" minValue="12.111666666666666" maxValue="14.746"/>
    </cacheField>
    <cacheField name="d_pea15h_subocupada_actividad_economica_terciario_serv_soc" numFmtId="164">
      <sharedItems containsString="0" containsBlank="1" containsNumber="1" minValue="4.5783333333333331" maxValue="7.935833333333334"/>
    </cacheField>
    <cacheField name="d_pea15h_subocupada_actividad_economica_terciario_serv_div" numFmtId="164">
      <sharedItems containsString="0" containsBlank="1" containsNumber="1" minValue="21.506666666666664" maxValue="25.933333333333334"/>
    </cacheField>
    <cacheField name="d_pea15h_subocupada_actividad_terciario_gobierno_org_inter" numFmtId="164">
      <sharedItems containsString="0" containsBlank="1" containsNumber="1" minValue="1.6679999999999999" maxValue="3.3450000000000002"/>
    </cacheField>
    <cacheField name="d_pea15h_subocupada_actividad_economica_no_especificado" numFmtId="164">
      <sharedItems containsString="0" containsBlank="1" containsNumber="1" minValue="0.51" maxValue="0.92"/>
    </cacheField>
    <cacheField name="f_pea15h_tasa_participacion" numFmtId="164">
      <sharedItems containsSemiMixedTypes="0" containsString="0" containsNumber="1" minValue="71.5625" maxValue="80.804999999999993"/>
    </cacheField>
    <cacheField name="f_pea15h_tasa_desocupacion" numFmtId="164">
      <sharedItems containsSemiMixedTypes="0" containsString="0" containsNumber="1" minValue="2.746" maxValue="5.3500000000000005"/>
    </cacheField>
    <cacheField name="f_pea15h_tasas_cmplementarias_ocupacionparcial_desocupacion" numFmtId="164">
      <sharedItems containsSemiMixedTypes="0" containsString="0" containsNumber="1" minValue="6.3860000000000001" maxValue="9.2441666666666666"/>
    </cacheField>
    <cacheField name="f_pea15h_tasas_complementarias_presion_general" numFmtId="164">
      <sharedItems containsSemiMixedTypes="0" containsString="0" containsNumber="1" minValue="6.1319999999999997" maxValue="9.8408333333333342"/>
    </cacheField>
    <cacheField name="f_pea15h_tasas_complementarias_trabajo_asalariado" numFmtId="164">
      <sharedItems containsSemiMixedTypes="0" containsString="0" containsNumber="1" minValue="57.919999999999995" maxValue="64.752499999999998"/>
    </cacheField>
    <cacheField name="f_pea15h_tasas_complementarias_subocupacion" numFmtId="164">
      <sharedItems containsSemiMixedTypes="0" containsString="0" containsNumber="1" minValue="7.4125000000000005" maxValue="16.698333333333334"/>
    </cacheField>
    <cacheField name="f_pea15h_tasas_complementarias_condiciones_criticas_ocupacion" numFmtId="164">
      <sharedItems containsSemiMixedTypes="0" containsString="0" containsNumber="1" minValue="10.86" maxValue="34.124000000000002"/>
    </cacheField>
    <cacheField name="f_pea15h_tasas_complementarias_ocupacion_sector_informal" numFmtId="164">
      <sharedItems containsSemiMixedTypes="0" containsString="0" containsNumber="1" minValue="26.071666666666669" maxValue="27.85083333333333"/>
    </cacheField>
    <cacheField name="f_pea15h_tasas_complementarias_informalidad_laboral" numFmtId="164">
      <sharedItems containsSemiMixedTypes="0" containsString="0" containsNumber="1" minValue="54.415999999999997" maxValue="59.677500000000002"/>
    </cacheField>
    <cacheField name="g_pea15m" numFmtId="164">
      <sharedItems containsSemiMixedTypes="0" containsString="0" containsNumber="1" minValue="40.74583333333333" maxValue="46.073999999999998"/>
    </cacheField>
    <cacheField name="g_npea15m" numFmtId="164">
      <sharedItems containsSemiMixedTypes="0" containsString="0" containsNumber="1" minValue="53.926000000000002" maxValue="59.254166666666663"/>
    </cacheField>
    <cacheField name="g_pea15m_ocupada" numFmtId="164">
      <sharedItems containsSemiMixedTypes="0" containsString="0" containsNumber="1" minValue="94.676666666666677" maxValue="97.188000000000017"/>
    </cacheField>
    <cacheField name="g_pea15m_desocupada" numFmtId="164">
      <sharedItems containsSemiMixedTypes="0" containsString="0" containsNumber="1" minValue="2.8120000000000003" maxValue="5.3233333333333333"/>
    </cacheField>
    <cacheField name="b_pea15m_ocupada_instruccion_primaria_incompleta" numFmtId="164">
      <sharedItems containsSemiMixedTypes="0" containsString="0" containsNumber="1" minValue="7.1879999999999997" maxValue="19.394166666666667"/>
    </cacheField>
    <cacheField name="b_pea15m_ocupada_instruccion_primaria_completa" numFmtId="164">
      <sharedItems containsSemiMixedTypes="0" containsString="0" containsNumber="1" minValue="13.392000000000001" maxValue="21.802499999999998"/>
    </cacheField>
    <cacheField name="b_pea15m_ocupada_instruccion_secundaria_completa" numFmtId="164">
      <sharedItems containsSemiMixedTypes="0" containsString="0" containsNumber="1" minValue="32.279166666666669" maxValue="34.696666666666665"/>
    </cacheField>
    <cacheField name="b_pea15m_ocupada_instruccion_mediasuperior_superior" numFmtId="164">
      <sharedItems containsSemiMixedTypes="0" containsString="0" containsNumber="1" minValue="25.705833333333334" maxValue="46.963999999999999"/>
    </cacheField>
    <cacheField name="b_pea15m_ocupada_instruccion_no_especificado" numFmtId="164">
      <sharedItems containsSemiMixedTypes="0" containsString="0" containsNumber="1" minValue="3.5833333333333335E-2" maxValue="9.1666666666666674E-2"/>
    </cacheField>
    <cacheField name="c_pea15m_ocupada_posicion_subordinados_renumerados" numFmtId="164">
      <sharedItems containsSemiMixedTypes="0" containsString="0" containsNumber="1" minValue="64.355833333333337" maxValue="70.418333333333337"/>
    </cacheField>
    <cacheField name="c_pea15m_ocupada_posicion_empleadores" numFmtId="164">
      <sharedItems containsSemiMixedTypes="0" containsString="0" containsNumber="1" minValue="2.0958333333333332" maxValue="2.9039999999999999"/>
    </cacheField>
    <cacheField name="c_pea15m_ocupada_posicion_cuenta_propia" numFmtId="164">
      <sharedItems containsSemiMixedTypes="0" containsString="0" containsNumber="1" minValue="21.119166666666668" maxValue="23.693333333333332"/>
    </cacheField>
    <cacheField name="c_pea15m_ocupada_posicion_no_remunerados" numFmtId="164">
      <sharedItems containsSemiMixedTypes="0" containsString="0" containsNumber="1" minValue="5.71" maxValue="10.924166666666666"/>
    </cacheField>
    <cacheField name="c_pea15m_ocupada_posicion_no_especificado" numFmtId="164">
      <sharedItems containsSemiMixedTypes="0" containsString="0" containsNumber="1" containsInteger="1" minValue="0" maxValue="0"/>
    </cacheField>
    <cacheField name="d_pea15m_ocupada_actividad_total" numFmtId="164">
      <sharedItems containsString="0" containsBlank="1" containsNumber="1" containsInteger="1" minValue="100" maxValue="100"/>
    </cacheField>
    <cacheField name="d_pea15m_ocupada_actividad_primario" numFmtId="164">
      <sharedItems containsString="0" containsBlank="1" containsNumber="1" minValue="3.5399999999999996" maxValue="4.1641666666666666"/>
    </cacheField>
    <cacheField name="d_pea15m_ocupada_actividad_secundario_total" numFmtId="164">
      <sharedItems containsString="0" containsBlank="1" containsNumber="1" minValue="16.139166666666664" maxValue="17.490000000000002"/>
    </cacheField>
    <cacheField name="d_pea15m_ocupada_actividad_secundario_extract_electri" numFmtId="164">
      <sharedItems containsString="0" containsBlank="1" containsNumber="1" minValue="1.5599999999999998" maxValue="2.0766666666666667"/>
    </cacheField>
    <cacheField name="d_pea15m_ocupada_actividad_secundario_manufacturera" numFmtId="164">
      <sharedItems containsString="0" containsBlank="1" containsNumber="1" minValue="93.525833333333324" maxValue="94.142499999999998"/>
    </cacheField>
    <cacheField name="d_pea15m_ocupada_actividad_secundario_construccion" numFmtId="164">
      <sharedItems containsString="0" containsBlank="1" containsNumber="1" minValue="3.8558333333333334" maxValue="4.6500000000000004"/>
    </cacheField>
    <cacheField name="d_pea15m_ocupada_actividad_terciario_total" numFmtId="164">
      <sharedItems containsString="0" containsBlank="1" containsNumber="1" minValue="78.03" maxValue="79.451666666666668"/>
    </cacheField>
    <cacheField name="d_pea15m_ocupada_actividad_terciario_comercio" numFmtId="164">
      <sharedItems containsString="0" containsBlank="1" containsNumber="1" minValue="31.679166666666664" maxValue="33.35"/>
    </cacheField>
    <cacheField name="d_pea15m_ocupada_actividad_terciario_rest_alojamiento" numFmtId="164">
      <sharedItems containsString="0" containsBlank="1" containsNumber="1" minValue="13.673333333333334" maxValue="15.21"/>
    </cacheField>
    <cacheField name="d_pea15m_ocupada_actividad_terciario_trans_com_corr_alm" numFmtId="164">
      <sharedItems containsString="0" containsBlank="1" containsNumber="1" minValue="1.8458333333333332" maxValue="2.4458333333333333"/>
    </cacheField>
    <cacheField name="d_pea15m_ocupada_actividad_terciario_serv_prof_fin_corp" numFmtId="164">
      <sharedItems containsString="0" containsBlank="1" containsNumber="1" minValue="8.6191666666666666" maxValue="9.7449999999999992"/>
    </cacheField>
    <cacheField name="d_pea15m_ocupada_actividad_economica_terciario_serv_soc" numFmtId="164">
      <sharedItems containsString="0" containsBlank="1" containsNumber="1" minValue="16.425833333333333" maxValue="17.640833333333333"/>
    </cacheField>
    <cacheField name="d_pea15m_ocupada_actividad_economica_terciario_serv_div" numFmtId="164">
      <sharedItems containsString="0" containsBlank="1" containsNumber="1" minValue="17.476666666666667" maxValue="20"/>
    </cacheField>
    <cacheField name="d_pea15m_ocupada_actividad_terciario_gobierno_org_inter" numFmtId="164">
      <sharedItems containsString="0" containsBlank="1" containsNumber="1" minValue="5.2700000000000005" maxValue="6.4424999999999999"/>
    </cacheField>
    <cacheField name="d_pea15m_ocupada_actividad_economica_no_especificado" numFmtId="164">
      <sharedItems containsString="0" containsBlank="1" containsNumber="1" minValue="0.39999999999999997" maxValue="0.5083333333333333"/>
    </cacheField>
    <cacheField name="b_pea15m_desocupada_instruccion_primaria_incompleta" numFmtId="164">
      <sharedItems containsSemiMixedTypes="0" containsString="0" containsNumber="1" minValue="2.3319999999999999" maxValue="7.6291666666666664"/>
    </cacheField>
    <cacheField name="b_pea15m_desocupada_instruccion_primaria_completa" numFmtId="164">
      <sharedItems containsSemiMixedTypes="0" containsString="0" containsNumber="1" minValue="7.2680000000000007" maxValue="18.172499999999999"/>
    </cacheField>
    <cacheField name="b_pea15m_desocupada_instruccion_secundaria_completa" numFmtId="164">
      <sharedItems containsSemiMixedTypes="0" containsString="0" containsNumber="1" minValue="29.456666666666667" maxValue="41.547499999999999"/>
    </cacheField>
    <cacheField name="b_pea15m_desocupada_instruccion_mediasuperior_superior" numFmtId="164">
      <sharedItems containsSemiMixedTypes="0" containsString="0" containsNumber="1" minValue="34.774166666666666" maxValue="60.219166666666666"/>
    </cacheField>
    <cacheField name="b_pea15m_desocupada_instruccion_no_especificado" numFmtId="164">
      <sharedItems containsSemiMixedTypes="0" containsString="0" containsNumber="1" minValue="0" maxValue="6.083333333333333E-2"/>
    </cacheField>
    <cacheField name="e_pea15m_desocupada_antecedentes_con_experiencia" numFmtId="164">
      <sharedItems containsSemiMixedTypes="0" containsString="0" containsNumber="1" minValue="81.564166666666665" maxValue="87.791666666666671"/>
    </cacheField>
    <cacheField name="e_pea15m_desocupada_antecedentes_sin_experiencia" numFmtId="164">
      <sharedItems containsSemiMixedTypes="0" containsString="0" containsNumber="1" minValue="12.208333333333334" maxValue="18.435833333333335"/>
    </cacheField>
    <cacheField name="b_pea15m_subocupada_instruccion_primaria_incompleta" numFmtId="164">
      <sharedItems containsSemiMixedTypes="0" containsString="0" containsNumber="1" minValue="9.9775000000000009" maxValue="22.853333333333335"/>
    </cacheField>
    <cacheField name="b_pea15m_subocupada_instruccion_primaria_completa" numFmtId="164">
      <sharedItems containsSemiMixedTypes="0" containsString="0" containsNumber="1" minValue="15.782499999999999" maxValue="24.743333333333336"/>
    </cacheField>
    <cacheField name="b_pea15m_subocupada_instruccion_secundaria_completa" numFmtId="164">
      <sharedItems containsSemiMixedTypes="0" containsString="0" containsNumber="1" minValue="31.769166666666667" maxValue="37.595833333333331"/>
    </cacheField>
    <cacheField name="b_pea15m_subocupada_instruccion_mediasuperior_superior" numFmtId="164">
      <sharedItems containsSemiMixedTypes="0" containsString="0" containsNumber="1" minValue="21.465833333333332" maxValue="39.288333333333334"/>
    </cacheField>
    <cacheField name="b_pea15m_subocupada_instruccion_no_especificado" numFmtId="164">
      <sharedItems containsSemiMixedTypes="0" containsString="0" containsNumber="1" minValue="6.6666666666666671E-3" maxValue="0.14749999999999999"/>
    </cacheField>
    <cacheField name="c_pea15m_subocupada_posicion_subordinados_renumerados" numFmtId="164">
      <sharedItems containsSemiMixedTypes="0" containsString="0" containsNumber="1" minValue="37.507999999999996" maxValue="44.961666666666666"/>
    </cacheField>
    <cacheField name="c_pea15m_subocupada_posicion_empleadores" numFmtId="164">
      <sharedItems containsSemiMixedTypes="0" containsString="0" containsNumber="1" minValue="2.2749999999999999" maxValue="3.7641666666666667"/>
    </cacheField>
    <cacheField name="c_pea15m_subocupada_posicion_cuenta_propia" numFmtId="164">
      <sharedItems containsSemiMixedTypes="0" containsString="0" containsNumber="1" minValue="39.9925" maxValue="51.95"/>
    </cacheField>
    <cacheField name="c_pea15m_subocupada_posicion_no_remunerados" numFmtId="164">
      <sharedItems containsSemiMixedTypes="0" containsString="0" containsNumber="1" minValue="7.1019999999999994" maxValue="12.647500000000001"/>
    </cacheField>
    <cacheField name="c_pea15m_subocupada_posicion_no_especificado" numFmtId="164">
      <sharedItems containsSemiMixedTypes="0" containsString="0" containsNumber="1" containsInteger="1" minValue="0" maxValue="0"/>
    </cacheField>
    <cacheField name="d_pea15m_subocupada_actividad_total" numFmtId="164">
      <sharedItems containsString="0" containsBlank="1" containsNumber="1" containsInteger="1" minValue="100" maxValue="100"/>
    </cacheField>
    <cacheField name="d_pea15m_subocupada_actividad_primario" numFmtId="164">
      <sharedItems containsString="0" containsBlank="1" containsNumber="1" minValue="3.063333333333333" maxValue="4.456666666666667"/>
    </cacheField>
    <cacheField name="d_pea15m_subocupada_actividad_secundario_total" numFmtId="164">
      <sharedItems containsString="0" containsBlank="1" containsNumber="1" minValue="13.599166666666667" maxValue="15.020000000000001"/>
    </cacheField>
    <cacheField name="d_pea15m_subocupada_actividad_secundario_extract_electri" numFmtId="164">
      <sharedItems containsString="0" containsBlank="1" containsNumber="1" minValue="0.21333333333333335" maxValue="1.0650000000000002"/>
    </cacheField>
    <cacheField name="d_pea15m_subocupada_actividad_secundario_manufacturera" numFmtId="164">
      <sharedItems containsString="0" containsBlank="1" containsNumber="1" minValue="94.819166666666661" maxValue="97.853999999999999"/>
    </cacheField>
    <cacheField name="d_pea15m_subocupada_actividad_secundario_construccion" numFmtId="164">
      <sharedItems containsString="0" containsBlank="1" containsNumber="1" minValue="1.52" maxValue="4.1149999999999993"/>
    </cacheField>
    <cacheField name="d_pea15m_subocupada_actividad_terciario_total" numFmtId="164">
      <sharedItems containsString="0" containsBlank="1" containsNumber="1" minValue="80.05" maxValue="82.789166666666674"/>
    </cacheField>
    <cacheField name="d_pea15m_subocupada_actividad_terciario_comercio" numFmtId="164">
      <sharedItems containsString="0" containsBlank="1" containsNumber="1" minValue="41.285000000000004" maxValue="43.567499999999995"/>
    </cacheField>
    <cacheField name="d_pea15m_subocupada_actividad_terciario_rest_alojamiento" numFmtId="164">
      <sharedItems containsString="0" containsBlank="1" containsNumber="1" minValue="15.8775" maxValue="18.479166666666668"/>
    </cacheField>
    <cacheField name="d_pea15m_subocupada_actividad_terciario_trans_com_corr_alm" numFmtId="164">
      <sharedItems containsString="0" containsBlank="1" containsNumber="1" minValue="0.90666666666666673" maxValue="1.4791666666666667"/>
    </cacheField>
    <cacheField name="d_pea15m_subocupada_actividad_terciario_serv_prof_fin_corp" numFmtId="164">
      <sharedItems containsString="0" containsBlank="1" containsNumber="1" minValue="5.8024999999999993" maxValue="6.7124999999999995"/>
    </cacheField>
    <cacheField name="d_pea15m_subocupada_actividad_economica_terciario_serv_soc" numFmtId="164">
      <sharedItems containsString="0" containsBlank="1" containsNumber="1" minValue="7.375" maxValue="12.020833333333334"/>
    </cacheField>
    <cacheField name="d_pea15m_subocupada_actividad_economica_terciario_serv_div" numFmtId="164">
      <sharedItems containsString="0" containsBlank="1" containsNumber="1" minValue="18.961666666666666" maxValue="25.077500000000001"/>
    </cacheField>
    <cacheField name="d_pea15m_subocupada_actividad_terciario_gobierno_org_inter" numFmtId="164">
      <sharedItems containsString="0" containsBlank="1" containsNumber="1" minValue="1.3258333333333334" maxValue="2.9774999999999996"/>
    </cacheField>
    <cacheField name="d_pea15m_subocupada_actividad_economica_no_especificado" numFmtId="164">
      <sharedItems containsString="0" containsBlank="1" containsNumber="1" minValue="0.2558333333333333" maxValue="0.67166666666666675"/>
    </cacheField>
    <cacheField name="f_pea15m_tasa_participacion" numFmtId="164">
      <sharedItems containsSemiMixedTypes="0" containsString="0" containsNumber="1" minValue="40.74583333333333" maxValue="46.073999999999998"/>
    </cacheField>
    <cacheField name="f_pea15m_tasa_desocupacion" numFmtId="164">
      <sharedItems containsSemiMixedTypes="0" containsString="0" containsNumber="1" minValue="2.8120000000000003" maxValue="5.3233333333333333"/>
    </cacheField>
    <cacheField name="f_pea15m_tasas_cmplementarias_ocupacionparcial_desocupacion" numFmtId="164">
      <sharedItems containsSemiMixedTypes="0" containsString="0" containsNumber="1" minValue="12.492000000000001" maxValue="15.540833333333333"/>
    </cacheField>
    <cacheField name="f_pea15m_tasas_complementarias_presion_general" numFmtId="164">
      <sharedItems containsSemiMixedTypes="0" containsString="0" containsNumber="1" minValue="5.5519999999999996" maxValue="8.1850000000000005"/>
    </cacheField>
    <cacheField name="f_pea15m_tasas_complementarias_trabajo_asalariado" numFmtId="164">
      <sharedItems containsSemiMixedTypes="0" containsString="0" containsNumber="1" minValue="60.178333333333335" maxValue="68.651666666666657"/>
    </cacheField>
    <cacheField name="f_pea15m_tasas_complementarias_subocupacion" numFmtId="164">
      <sharedItems containsSemiMixedTypes="0" containsString="0" containsNumber="1" minValue="5.5249999999999995" maxValue="15.792500000000002"/>
    </cacheField>
    <cacheField name="f_pea15m_tasas_complementarias_condiciones_criticas_ocupacion" numFmtId="164">
      <sharedItems containsSemiMixedTypes="0" containsString="0" containsNumber="1" minValue="10.359166666666667" maxValue="28.933999999999997"/>
    </cacheField>
    <cacheField name="f_pea15m_tasas_complementarias_ocupacion_sector_informal" numFmtId="164">
      <sharedItems containsSemiMixedTypes="0" containsString="0" containsNumber="1" minValue="26.954999999999998" maxValue="30.864166666666666"/>
    </cacheField>
    <cacheField name="f_pea15m_tasas_complementarias_informalidad_laboral" numFmtId="164">
      <sharedItems containsSemiMixedTypes="0" containsString="0" containsNumber="1" minValue="54.040833333333332" maxValue="60.987500000000004"/>
    </cacheField>
    <cacheField name="h_urbana_32c_participacion" numFmtId="164">
      <sharedItems containsSemiMixedTypes="0" containsString="0" containsNumber="1" minValue="54.751666666666665" maxValue="62.137499999999996"/>
    </cacheField>
    <cacheField name="h_urbana_32c_participacion_hombres" numFmtId="164">
      <sharedItems containsSemiMixedTypes="0" containsString="0" containsNumber="1" minValue="67.611666666666665" maxValue="79.540000000000006"/>
    </cacheField>
    <cacheField name="h_urbana_32c_participacion_mujeres" numFmtId="164">
      <sharedItems containsSemiMixedTypes="0" containsString="0" containsNumber="1" minValue="43.134999999999998" maxValue="49.384"/>
    </cacheField>
    <cacheField name="h_urbana_32c_desocupacion" numFmtId="164">
      <sharedItems containsSemiMixedTypes="0" containsString="0" containsNumber="1" minValue="3.3959999999999999" maxValue="6.604166666666667"/>
    </cacheField>
    <cacheField name="h_urbana_32c_desocupacion_hombres" numFmtId="164">
      <sharedItems containsSemiMixedTypes="0" containsString="0" containsNumber="1" minValue="3.3959999999999999" maxValue="6.6774999999999993"/>
    </cacheField>
    <cacheField name="h_urbana_32c_desocupacion_mujeres" numFmtId="164">
      <sharedItems containsSemiMixedTypes="0" containsString="0" containsNumber="1" minValue="3.3959999999999999" maxValue="6.4908333333333337"/>
    </cacheField>
    <cacheField name="h_urbana_32c_ocupacionparcial_desocupacion" numFmtId="164">
      <sharedItems containsSemiMixedTypes="0" containsString="0" containsNumber="1" minValue="8.2891666666666666" maxValue="11.574166666666665"/>
    </cacheField>
    <cacheField name="h_urbana_32c_ocupacionparcial_desocupacion_hombres" numFmtId="164">
      <sharedItems containsSemiMixedTypes="0" containsString="0" containsNumber="1" minValue="6.3416666666666659" maxValue="10.160833333333334"/>
    </cacheField>
    <cacheField name="h_urbana_32c_ocupacionparcial_desocupacion_mujeres" numFmtId="164">
      <sharedItems containsSemiMixedTypes="0" containsString="0" containsNumber="1" minValue="11.032499999999999" maxValue="14.266666666666666"/>
    </cacheField>
    <cacheField name="h_urbana_32c_presion_general_tprg" numFmtId="164">
      <sharedItems containsSemiMixedTypes="0" containsString="0" containsNumber="1" minValue="6.6059999999999999" maxValue="10.518333333333333"/>
    </cacheField>
    <cacheField name="h_urbana_32c_presion_general_tprg_hombres" numFmtId="164">
      <sharedItems containsSemiMixedTypes="0" containsString="0" containsNumber="1" minValue="6.7879999999999994" maxValue="11.0075"/>
    </cacheField>
    <cacheField name="h_urbana_32c_presion_general_tprg_mujeres" numFmtId="164">
      <sharedItems containsSemiMixedTypes="0" containsString="0" containsNumber="1" minValue="6.3659999999999997" maxValue="9.7991666666666664"/>
    </cacheField>
    <cacheField name="h_urbana_32c_trabajo_asalariado" numFmtId="164">
      <sharedItems containsSemiMixedTypes="0" containsString="0" containsNumber="1" minValue="66.743333333333325" maxValue="72.254999999999995"/>
    </cacheField>
    <cacheField name="h_urbana_32c_trabajo_asalariado_hombres" numFmtId="164">
      <sharedItems containsSemiMixedTypes="0" containsString="0" containsNumber="1" minValue="65.231666666666669" maxValue="70.712499999999991"/>
    </cacheField>
    <cacheField name="h_urbana_32c_trabajo_asalariado_mujeres" numFmtId="164">
      <sharedItems containsSemiMixedTypes="0" containsString="0" containsNumber="1" minValue="69.089166666666657" maxValue="74.398333333333326"/>
    </cacheField>
    <cacheField name="h_urbana_32c_tasa_subocupacion" numFmtId="164">
      <sharedItems containsSemiMixedTypes="0" containsString="0" containsNumber="1" minValue="6.0683333333333342" maxValue="16.98"/>
    </cacheField>
    <cacheField name="h_urbana_32c_tasa_subocupacion_hombres" numFmtId="164">
      <sharedItems containsSemiMixedTypes="0" containsString="0" containsNumber="1" minValue="6.3683333333333332" maxValue="17.710833333333333"/>
    </cacheField>
    <cacheField name="h_urbana_32c_tasa_subocupacion_mujeres" numFmtId="164">
      <sharedItems containsSemiMixedTypes="0" containsString="0" containsNumber="1" minValue="5.2216666666666667" maxValue="15.971666666666666"/>
    </cacheField>
    <cacheField name="h_urbana_32c_condicion_critica_ocupacion" numFmtId="164">
      <sharedItems containsSemiMixedTypes="0" containsString="0" containsNumber="1" minValue="7.4125000000000005" maxValue="28.655999999999999"/>
    </cacheField>
    <cacheField name="h_urbana_32c_condicion_critica_ocupacion_hombres" numFmtId="164">
      <sharedItems containsSemiMixedTypes="0" containsString="0" containsNumber="1" minValue="7.3949999999999996" maxValue="30.588000000000001"/>
    </cacheField>
    <cacheField name="h_urbana_32c_condicion_critica_ocupacion_mujeres" numFmtId="164">
      <sharedItems containsSemiMixedTypes="0" containsString="0" containsNumber="1" minValue="7.4383333333333335" maxValue="26.092000000000002"/>
    </cacheField>
    <cacheField name="h_urbana_32c_ocupacion_sector_informal" numFmtId="164">
      <sharedItems containsSemiMixedTypes="0" containsString="0" containsNumber="1" minValue="25.235833333333332" maxValue="27.988333333333333"/>
    </cacheField>
    <cacheField name="h_urbana_32c_ocupacion_sector_informal_hombres" numFmtId="164">
      <sharedItems containsSemiMixedTypes="0" containsString="0" containsNumber="1" minValue="27.214166666666667" maxValue="30.355833333333333"/>
    </cacheField>
    <cacheField name="h_urbana_32c_ocupacion_sector_informal_mujeres" numFmtId="164">
      <sharedItems containsSemiMixedTypes="0" containsString="0" containsNumber="1" minValue="22.473333333333333" maxValue="25.575833333333335"/>
    </cacheField>
    <cacheField name="h_urbana_32c_informalidad_laboral" numFmtId="164">
      <sharedItems containsSemiMixedTypes="0" containsString="0" containsNumber="1" minValue="42.925833333333337" maxValue="48.536666666666669"/>
    </cacheField>
    <cacheField name="h_urbana_32c_informalidad_laboral_hombres" numFmtId="164">
      <sharedItems containsSemiMixedTypes="0" containsString="0" containsNumber="1" minValue="41.838333333333331" maxValue="47.083333333333336"/>
    </cacheField>
    <cacheField name="h_urbana_32c_informalidad_laboral_mujeres" numFmtId="164">
      <sharedItems containsSemiMixedTypes="0" containsString="0" containsNumber="1" minValue="44.444166666666668" maxValue="51.175000000000004"/>
    </cacheField>
    <cacheField name="i_urbana_39c_participacion" numFmtId="164">
      <sharedItems containsString="0" containsBlank="1" containsNumber="1" minValue="58.576666666666661" maxValue="61.395833333333336"/>
    </cacheField>
    <cacheField name="i_urbana_39c_participacion_hombres" numFmtId="164">
      <sharedItems containsString="0" containsBlank="1" containsNumber="1" minValue="72.040833333333339" maxValue="75.794444444444437"/>
    </cacheField>
    <cacheField name="i_urbana_39c_participacion_mujeres" numFmtId="164">
      <sharedItems containsString="0" containsBlank="1" containsNumber="1" minValue="46.400833333333331" maxValue="49.45"/>
    </cacheField>
    <cacheField name="i_urbana_39c_desocupacion" numFmtId="164">
      <sharedItems containsString="0" containsBlank="1" containsNumber="1" minValue="3.3479999999999999" maxValue="5.1924999999999999"/>
    </cacheField>
    <cacheField name="i_urbana_39c_desocupacion_hombres" numFmtId="164">
      <sharedItems containsString="0" containsBlank="1" containsNumber="1" minValue="3.3439999999999999" maxValue="5.3150000000000004"/>
    </cacheField>
    <cacheField name="i_urbana_39c_desocupacion_mujeres" numFmtId="164">
      <sharedItems containsString="0" containsBlank="1" containsNumber="1" minValue="3.3579999999999997" maxValue="5.020833333333333"/>
    </cacheField>
    <cacheField name="i_urbana_39c_ocupacionparcial_desocupacion" numFmtId="164">
      <sharedItems containsString="0" containsBlank="1" containsNumber="1" minValue="8.3533333333333335" maxValue="10.791666666666666"/>
    </cacheField>
    <cacheField name="i_urbana_39c_ocupacionparcial_desocupacion_hombres" numFmtId="164">
      <sharedItems containsString="0" containsBlank="1" containsNumber="1" minValue="6.3660000000000005" maxValue="8.7816666666666663"/>
    </cacheField>
    <cacheField name="i_urbana_39c_ocupacionparcial_desocupacion_mujeres" numFmtId="164">
      <sharedItems containsString="0" containsBlank="1" containsNumber="1" minValue="11.118333333333334" maxValue="13.621666666666668"/>
    </cacheField>
    <cacheField name="i_urbana_39c_presion_general_tprg" numFmtId="164">
      <sharedItems containsString="0" containsBlank="1" containsNumber="1" minValue="6.6059999999999999" maxValue="9.5250000000000004"/>
    </cacheField>
    <cacheField name="i_urbana_39c_presion_general_tprg_hombres" numFmtId="164">
      <sharedItems containsString="0" containsBlank="1" containsNumber="1" minValue="6.7859999999999996" maxValue="9.9091666666666658"/>
    </cacheField>
    <cacheField name="i_urbana_39c_presion_general_tprg_mujeres" numFmtId="164">
      <sharedItems containsString="0" containsBlank="1" containsNumber="1" minValue="6.3639999999999999" maxValue="8.98"/>
    </cacheField>
    <cacheField name="i_urbana_39c_trabajo_asalariado" numFmtId="164">
      <sharedItems containsString="0" containsBlank="1" containsNumber="1" minValue="70.040000000000006" maxValue="71.408333333333331"/>
    </cacheField>
    <cacheField name="i_urbana_39c_trabajo_asalariado_hombres" numFmtId="164">
      <sharedItems containsString="0" containsBlank="1" containsNumber="1" minValue="68.500833333333333" maxValue="70.289166666666659"/>
    </cacheField>
    <cacheField name="i_urbana_39c_trabajo_asalariado_mujeres" numFmtId="164">
      <sharedItems containsString="0" containsBlank="1" containsNumber="1" minValue="71.6875" maxValue="73.06"/>
    </cacheField>
    <cacheField name="i_urbana_39c_tasa_subocupacion" numFmtId="164">
      <sharedItems containsString="0" containsBlank="1" containsNumber="1" minValue="6.142500000000001" maxValue="13.202500000000001"/>
    </cacheField>
    <cacheField name="i_urbana_39c_tasa_subocupacion_hombres" numFmtId="164">
      <sharedItems containsString="0" containsBlank="1" containsNumber="1" minValue="6.4541666666666666" maxValue="13.362499999999999"/>
    </cacheField>
    <cacheField name="i_urbana_39c_tasa_subocupacion_mujeres" numFmtId="164">
      <sharedItems containsString="0" containsBlank="1" containsNumber="1" minValue="5.5666666666666664" maxValue="12.978333333333333"/>
    </cacheField>
    <cacheField name="i_urbana_39c_condicion_critica_ocupacion" numFmtId="164">
      <sharedItems containsString="0" containsBlank="1" containsNumber="1" minValue="10.703333333333333" maxValue="29.155999999999999"/>
    </cacheField>
    <cacheField name="i_urbana_39c_condicion_critica_ocupacion_hombres" numFmtId="164">
      <sharedItems containsString="0" containsBlank="1" containsNumber="1" minValue="11.441111111111111" maxValue="31.01"/>
    </cacheField>
    <cacheField name="i_urbana_39c_condicion_critica_ocupacion_mujeres" numFmtId="164">
      <sharedItems containsString="0" containsBlank="1" containsNumber="1" minValue="9.6688888888888886" maxValue="26.673999999999999"/>
    </cacheField>
    <cacheField name="i_urbana_39c_ocupacion_sector_informal" numFmtId="164">
      <sharedItems containsString="0" containsBlank="1" containsNumber="1" minValue="25.508888888888887" maxValue="27.133333333333336"/>
    </cacheField>
    <cacheField name="i_urbana_39c_ocupacion_sector_informal_hombres" numFmtId="164">
      <sharedItems containsString="0" containsBlank="1" containsNumber="1" minValue="26.97" maxValue="28.613333333333333"/>
    </cacheField>
    <cacheField name="i_urbana_39c_ocupacion_sector_informal_mujeres" numFmtId="164">
      <sharedItems containsString="0" containsBlank="1" containsNumber="1" minValue="22.682222222222222" maxValue="25.056666666666668"/>
    </cacheField>
    <cacheField name="i_urbana_39c_informalidad_laboral" numFmtId="164">
      <sharedItems containsString="0" containsBlank="1" containsNumber="1" minValue="43.765999999999998" maxValue="46.03"/>
    </cacheField>
    <cacheField name="i_urbana_39c_informalidad_laboral_hombres" numFmtId="164">
      <sharedItems containsString="0" containsBlank="1" containsNumber="1" minValue="42" maxValue="44.073333333333331"/>
    </cacheField>
    <cacheField name="i_urbana_39c_informalidad_laboral_mujeres" numFmtId="164">
      <sharedItems containsString="0" containsBlank="1" containsNumber="1" minValue="45.962499999999999" maxValue="48.778333333333336"/>
    </cacheField>
    <cacheField name="j_ocupacion_entidad_aguascalientes" numFmtId="164">
      <sharedItems containsSemiMixedTypes="0" containsString="0" containsNumber="1" minValue="92.606666666666669" maxValue="96.825999999999993"/>
    </cacheField>
    <cacheField name="j_ocupacion_entidad_bajacalifornianorte" numFmtId="164">
      <sharedItems containsSemiMixedTypes="0" containsString="0" containsNumber="1" minValue="93.49666666666667" maxValue="98.567499999999995"/>
    </cacheField>
    <cacheField name="j_ocupacion_entidad_bajacaliforniasur" numFmtId="164">
      <sharedItems containsSemiMixedTypes="0" containsString="0" containsNumber="1" minValue="94.02" maxValue="98.002499999999998"/>
    </cacheField>
    <cacheField name="j_ocupacion_entidad_campeche" numFmtId="164">
      <sharedItems containsSemiMixedTypes="0" containsString="0" containsNumber="1" minValue="96.255833333333328" maxValue="98.14"/>
    </cacheField>
    <cacheField name="j_ocupacion_entidad_coahuila" numFmtId="164">
      <sharedItems containsSemiMixedTypes="0" containsString="0" containsNumber="1" minValue="91.78083333333332" maxValue="96.507999999999996"/>
    </cacheField>
    <cacheField name="j_ocupacion_entidad_colima" numFmtId="164">
      <sharedItems containsSemiMixedTypes="0" containsString="0" containsNumber="1" minValue="94.799166666666665" maxValue="97.955999999999989"/>
    </cacheField>
    <cacheField name="j_ocupacion_entidad_chiapas" numFmtId="164">
      <sharedItems containsSemiMixedTypes="0" containsString="0" containsNumber="1" minValue="96.850000000000009" maxValue="98.15666666666668"/>
    </cacheField>
    <cacheField name="j_ocupacion_entidad_chihuahua" numFmtId="164">
      <sharedItems containsSemiMixedTypes="0" containsString="0" containsNumber="1" minValue="91.606666666666669" maxValue="97.603333333333339"/>
    </cacheField>
    <cacheField name="j_ocupacion_entidad_cdmx" numFmtId="164">
      <sharedItems containsSemiMixedTypes="0" containsString="0" containsNumber="1" minValue="93.172499999999999" maxValue="95.876000000000005"/>
    </cacheField>
    <cacheField name="j_ocupacion_entidad_durango" numFmtId="164">
      <sharedItems containsSemiMixedTypes="0" containsString="0" containsNumber="1" minValue="93.541666666666671" maxValue="96.872"/>
    </cacheField>
    <cacheField name="j_ocupacion_entidad_guanajuato" numFmtId="164">
      <sharedItems containsSemiMixedTypes="0" containsString="0" containsNumber="1" minValue="93.888333333333335" maxValue="96.84"/>
    </cacheField>
    <cacheField name="j_ocupacion_entidad_guerrero" numFmtId="164">
      <sharedItems containsSemiMixedTypes="0" containsString="0" containsNumber="1" minValue="97.575000000000003" maxValue="98.910000000000011"/>
    </cacheField>
    <cacheField name="j_ocupacion_entidad_hidalgo" numFmtId="164">
      <sharedItems containsSemiMixedTypes="0" containsString="0" containsNumber="1" minValue="94.407500000000013" maxValue="97.861666666666665"/>
    </cacheField>
    <cacheField name="j_ocupacion_entidad_jalisco" numFmtId="164">
      <sharedItems containsSemiMixedTypes="0" containsString="0" containsNumber="1" minValue="94.68" maxValue="97.601666666666674"/>
    </cacheField>
    <cacheField name="j_ocupacion_entidad_edomex" numFmtId="164">
      <sharedItems containsSemiMixedTypes="0" containsString="0" containsNumber="1" minValue="93.025833333333324" maxValue="96.372"/>
    </cacheField>
    <cacheField name="j_ocupacion_entidad_michoacan" numFmtId="164">
      <sharedItems containsSemiMixedTypes="0" containsString="0" containsNumber="1" minValue="95.764166666666668" maxValue="98.272499999999994"/>
    </cacheField>
    <cacheField name="j_ocupacion_entidad_morelos" numFmtId="164">
      <sharedItems containsSemiMixedTypes="0" containsString="0" containsNumber="1" minValue="95.776666666666657" maxValue="98.463999999999999"/>
    </cacheField>
    <cacheField name="j_ocupacion_entidad_nayarit" numFmtId="164">
      <sharedItems containsSemiMixedTypes="0" containsString="0" containsNumber="1" minValue="94.387500000000003" maxValue="98.078000000000003"/>
    </cacheField>
    <cacheField name="j_ocupacion_entidad_nuevoleon" numFmtId="164">
      <sharedItems containsSemiMixedTypes="0" containsString="0" containsNumber="1" minValue="92.768333333333331" maxValue="96.683999999999997"/>
    </cacheField>
    <cacheField name="j_ocupacion_entidad_oaxaca" numFmtId="164">
      <sharedItems containsSemiMixedTypes="0" containsString="0" containsNumber="1" minValue="97.016666666666666" maxValue="98.622"/>
    </cacheField>
    <cacheField name="j_ocupacion_entidad_puebla" numFmtId="164">
      <sharedItems containsSemiMixedTypes="0" containsString="0" containsNumber="1" minValue="95.399166666666659" maxValue="97.762"/>
    </cacheField>
    <cacheField name="j_ocupacion_entidad_queretaro" numFmtId="164">
      <sharedItems containsSemiMixedTypes="0" containsString="0" containsNumber="1" minValue="92.354166666666671" maxValue="97.231999999999999"/>
    </cacheField>
    <cacheField name="j_ocupacion_entidad_quintanaroo" numFmtId="164">
      <sharedItems containsSemiMixedTypes="0" containsString="0" containsNumber="1" minValue="94.018333333333331" maxValue="97.56"/>
    </cacheField>
    <cacheField name="j_ocupacion_entidad_sanluispotosi" numFmtId="164">
      <sharedItems containsSemiMixedTypes="0" containsString="0" containsNumber="1" minValue="95.970000000000013" maxValue="97.626000000000005"/>
    </cacheField>
    <cacheField name="j_ocupacion_entidad_sinaloa" numFmtId="164">
      <sharedItems containsSemiMixedTypes="0" containsString="0" containsNumber="1" minValue="94.864166666666662" maxValue="98.024000000000001"/>
    </cacheField>
    <cacheField name="j_ocupacion_entidad_sonora" numFmtId="164">
      <sharedItems containsSemiMixedTypes="0" containsString="0" containsNumber="1" minValue="92.666666666666671" maxValue="97.170833333333334"/>
    </cacheField>
    <cacheField name="j_ocupacion_entidad_tabasco" numFmtId="164">
      <sharedItems containsSemiMixedTypes="0" containsString="0" containsNumber="1" minValue="92.404166666666654" maxValue="96.713333333333324"/>
    </cacheField>
    <cacheField name="j_ocupacion_entidad_tamaulipas" numFmtId="164">
      <sharedItems containsSemiMixedTypes="0" containsString="0" containsNumber="1" minValue="92.553333333333342" maxValue="97.057999999999993"/>
    </cacheField>
    <cacheField name="j_ocupacion_entidad_tlaxcala" numFmtId="164">
      <sharedItems containsSemiMixedTypes="0" containsString="0" containsNumber="1" minValue="93.372500000000002" maxValue="96.674000000000007"/>
    </cacheField>
    <cacheField name="j_ocupacion_entidad_veracruz" numFmtId="164">
      <sharedItems containsSemiMixedTypes="0" containsString="0" containsNumber="1" minValue="96.061666666666667" maxValue="97.772000000000006"/>
    </cacheField>
    <cacheField name="j_ocupacion_entidad_yucatan" numFmtId="164">
      <sharedItems containsSemiMixedTypes="0" containsString="0" containsNumber="1" minValue="96.831666666666663" maxValue="98.208333333333329"/>
    </cacheField>
    <cacheField name="j_ocupacion_entidad_zacatecas" numFmtId="164">
      <sharedItems containsSemiMixedTypes="0" containsString="0" containsNumber="1" minValue="93.395833333333329" maxValue="97.227500000000006"/>
    </cacheField>
    <cacheField name="Months (periodo)" numFmtId="0" databaseField="0">
      <fieldGroup base="0">
        <rangePr groupBy="months" startDate="2005-01-01T00:00:00" endDate="2023-01-02T00:00:00"/>
        <groupItems count="14">
          <s v="&lt;1/1/200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/2023"/>
        </groupItems>
      </fieldGroup>
    </cacheField>
    <cacheField name="Quarters (periodo)" numFmtId="0" databaseField="0">
      <fieldGroup base="0">
        <rangePr groupBy="quarters" startDate="2005-01-01T00:00:00" endDate="2023-01-02T00:00:00"/>
        <groupItems count="6">
          <s v="&lt;1/1/2005"/>
          <s v="Qtr1"/>
          <s v="Qtr2"/>
          <s v="Qtr3"/>
          <s v="Qtr4"/>
          <s v="&gt;1/2/2023"/>
        </groupItems>
      </fieldGroup>
    </cacheField>
    <cacheField name="Years (periodo)" numFmtId="0" databaseField="0">
      <fieldGroup base="0">
        <rangePr groupBy="years" startDate="2005-01-01T00:00:00" endDate="2023-01-02T00:00:00"/>
        <groupItems count="21">
          <s v="&lt;1/1/2005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/2/2023"/>
        </groupItems>
      </fieldGroup>
    </cacheField>
  </cacheFields>
  <extLst>
    <ext xmlns:x14="http://schemas.microsoft.com/office/spreadsheetml/2009/9/main" uri="{725AE2AE-9491-48be-B2B4-4EB974FC3084}">
      <x14:pivotCacheDefinition pivotCacheId="112632302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x v="0"/>
    <n v="21.397499999999997"/>
    <n v="23.178333333333331"/>
    <n v="30.964166666666667"/>
    <n v="24.355833333333333"/>
    <n v="0.10249999999999999"/>
    <n v="64.148333333333326"/>
    <n v="4.7058333333333335"/>
    <n v="23.864166666666666"/>
    <n v="7.2808333333333337"/>
    <n v="0"/>
    <m/>
    <m/>
    <m/>
    <m/>
    <m/>
    <m/>
    <m/>
    <m/>
    <m/>
    <m/>
    <m/>
    <m/>
    <m/>
    <m/>
    <m/>
    <n v="11.768333333333333"/>
    <n v="20.364999999999998"/>
    <n v="36.658333333333331"/>
    <n v="31.170833333333334"/>
    <n v="0.04"/>
    <n v="86.567499999999995"/>
    <n v="13.432499999999999"/>
    <n v="25.448333333333334"/>
    <n v="25.756666666666664"/>
    <n v="29.296666666666667"/>
    <n v="19.408333333333335"/>
    <n v="8.9166666666666672E-2"/>
    <n v="50.047500000000007"/>
    <n v="5.2075000000000005"/>
    <n v="37.295833333333334"/>
    <n v="7.4483333333333333"/>
    <n v="0"/>
    <m/>
    <m/>
    <m/>
    <m/>
    <m/>
    <m/>
    <m/>
    <m/>
    <m/>
    <m/>
    <m/>
    <m/>
    <m/>
    <m/>
    <m/>
    <n v="59.302500000000002"/>
    <n v="3.48"/>
    <n v="9.17"/>
    <n v="7.7383333333333333"/>
    <n v="58.743333333333332"/>
    <n v="7.503333333333333"/>
    <n v="14.465833333333334"/>
    <n v="28.08583333333333"/>
    <n v="59.814166666666665"/>
    <n v="80.37166666666667"/>
    <n v="19.628333333333334"/>
    <n v="96.727500000000006"/>
    <n v="3.2725000000000004"/>
    <n v="22.55"/>
    <n v="23.969166666666666"/>
    <n v="29.77"/>
    <n v="23.5825"/>
    <n v="0.12666666666666668"/>
    <n v="64.033333333333331"/>
    <n v="6.2074999999999996"/>
    <n v="24.574999999999999"/>
    <n v="5.184166666666667"/>
    <n v="0"/>
    <m/>
    <m/>
    <m/>
    <m/>
    <m/>
    <m/>
    <m/>
    <m/>
    <m/>
    <m/>
    <m/>
    <m/>
    <m/>
    <m/>
    <m/>
    <n v="14.577500000000001"/>
    <n v="21.83666666666667"/>
    <n v="34.797499999999999"/>
    <n v="28.75"/>
    <n v="0.04"/>
    <n v="89.888333333333335"/>
    <n v="10.111666666666666"/>
    <n v="26.459999999999997"/>
    <n v="26.789166666666663"/>
    <n v="28.117500000000003"/>
    <n v="18.544999999999998"/>
    <n v="8.9166666666666672E-2"/>
    <n v="52.175833333333337"/>
    <n v="6.3649999999999993"/>
    <n v="36.140833333333333"/>
    <n v="5.315833333333333"/>
    <n v="0"/>
    <m/>
    <m/>
    <m/>
    <m/>
    <m/>
    <m/>
    <m/>
    <m/>
    <m/>
    <m/>
    <m/>
    <m/>
    <m/>
    <m/>
    <m/>
    <n v="80.37166666666667"/>
    <n v="3.2725000000000004"/>
    <n v="6.6124999999999998"/>
    <n v="8.0500000000000007"/>
    <n v="57.919999999999995"/>
    <n v="8.3833333333333329"/>
    <n v="14.958333333333334"/>
    <n v="27.366666666666664"/>
    <n v="59.66"/>
    <n v="40.811666666666667"/>
    <n v="59.188333333333333"/>
    <n v="96.15583333333332"/>
    <n v="3.8441666666666667"/>
    <n v="19.394166666666667"/>
    <n v="21.802499999999998"/>
    <n v="33.037500000000001"/>
    <n v="25.705833333333334"/>
    <n v="0.06"/>
    <n v="64.355833333333337"/>
    <n v="2.0958333333333332"/>
    <n v="22.625"/>
    <n v="10.924166666666666"/>
    <n v="0"/>
    <m/>
    <m/>
    <m/>
    <m/>
    <m/>
    <m/>
    <m/>
    <m/>
    <m/>
    <m/>
    <m/>
    <m/>
    <m/>
    <m/>
    <m/>
    <n v="7.6291666666666664"/>
    <n v="18.172499999999999"/>
    <n v="39.388333333333328"/>
    <n v="34.774166666666666"/>
    <n v="3.7499999999999999E-2"/>
    <n v="81.564166666666665"/>
    <n v="18.435833333333335"/>
    <n v="22.853333333333335"/>
    <n v="23.36"/>
    <n v="32.173333333333332"/>
    <n v="21.52333333333333"/>
    <n v="8.9166666666666672E-2"/>
    <n v="44.961666666666666"/>
    <n v="2.3991666666666664"/>
    <n v="39.9925"/>
    <n v="12.647500000000001"/>
    <n v="0"/>
    <m/>
    <m/>
    <m/>
    <m/>
    <m/>
    <m/>
    <m/>
    <m/>
    <m/>
    <m/>
    <m/>
    <m/>
    <m/>
    <m/>
    <m/>
    <n v="40.811666666666667"/>
    <n v="3.8441666666666667"/>
    <n v="13.585833333333333"/>
    <n v="7.1983333333333333"/>
    <n v="60.178333333333335"/>
    <n v="5.9675000000000002"/>
    <n v="13.596666666666666"/>
    <n v="29.3325"/>
    <n v="60.072499999999998"/>
    <n v="60.923333333333339"/>
    <n v="78.852500000000006"/>
    <n v="45.139166666666661"/>
    <n v="4.5874999999999995"/>
    <n v="4.3591666666666669"/>
    <n v="4.9333333333333336"/>
    <n v="8.8991666666666678"/>
    <n v="6.7358333333333329"/>
    <n v="12.224166666666667"/>
    <n v="9.5733333333333324"/>
    <n v="9.8808333333333334"/>
    <n v="9.0983333333333345"/>
    <n v="66.743333333333325"/>
    <n v="65.231666666666669"/>
    <n v="69.089166666666657"/>
    <n v="6.8516666666666666"/>
    <n v="7.544999999999999"/>
    <n v="5.7774999999999999"/>
    <n v="9.2791666666666668"/>
    <n v="9.2249999999999996"/>
    <n v="9.3658333333333328"/>
    <n v="27.988333333333333"/>
    <n v="30.355833333333333"/>
    <n v="24.315833333333334"/>
    <n v="48.536666666666669"/>
    <n v="47.083333333333336"/>
    <n v="50.773333333333333"/>
    <m/>
    <m/>
    <m/>
    <m/>
    <m/>
    <m/>
    <m/>
    <m/>
    <m/>
    <m/>
    <m/>
    <m/>
    <m/>
    <m/>
    <m/>
    <m/>
    <m/>
    <m/>
    <m/>
    <m/>
    <m/>
    <m/>
    <m/>
    <m/>
    <m/>
    <m/>
    <m/>
    <n v="95.168333333333337"/>
    <n v="98.567499999999995"/>
    <n v="97.733333333333334"/>
    <n v="97.516666666666666"/>
    <n v="95.515833333333333"/>
    <n v="96.979166666666671"/>
    <n v="97.94083333333333"/>
    <n v="97.48"/>
    <n v="94.53166666666668"/>
    <n v="96.564166666666665"/>
    <n v="96.19"/>
    <n v="98.910000000000011"/>
    <n v="96.92"/>
    <n v="96.494166666666672"/>
    <n v="95.225833333333341"/>
    <n v="97.290833333333339"/>
    <n v="97.447499999999991"/>
    <n v="97.648333333333326"/>
    <n v="94.989166666666677"/>
    <n v="98.279999999999987"/>
    <n v="96.873333333333335"/>
    <n v="96.080833333333331"/>
    <n v="97.267499999999998"/>
    <n v="97.37833333333333"/>
    <n v="96.759166666666658"/>
    <n v="96.539166666666674"/>
    <n v="96.713333333333324"/>
    <n v="95.774166666666659"/>
    <n v="95.725000000000009"/>
    <n v="97.617500000000007"/>
    <n v="97.507499999999993"/>
    <n v="97.181666666666672"/>
  </r>
  <r>
    <x v="1"/>
    <x v="1"/>
    <x v="1"/>
    <x v="1"/>
    <x v="1"/>
    <n v="20.224999999999998"/>
    <n v="22.944999999999997"/>
    <n v="31.552499999999998"/>
    <n v="25.21083333333333"/>
    <n v="6.5833333333333341E-2"/>
    <n v="65.03"/>
    <n v="4.9358333333333331"/>
    <n v="23.223333333333333"/>
    <n v="6.8125"/>
    <n v="0"/>
    <m/>
    <m/>
    <m/>
    <m/>
    <m/>
    <m/>
    <m/>
    <m/>
    <m/>
    <m/>
    <m/>
    <m/>
    <m/>
    <m/>
    <m/>
    <n v="11.070833333333333"/>
    <n v="19.263333333333332"/>
    <n v="37.321666666666665"/>
    <n v="32.304166666666667"/>
    <n v="3.8333333333333337E-2"/>
    <n v="87.519166666666663"/>
    <n v="12.480833333333335"/>
    <n v="25.520833333333332"/>
    <n v="25.428333333333331"/>
    <n v="29.5275"/>
    <n v="19.455833333333334"/>
    <n v="7.166666666666667E-2"/>
    <n v="50.47"/>
    <n v="4.9649999999999999"/>
    <n v="37.805"/>
    <n v="6.7575000000000003"/>
    <n v="0"/>
    <m/>
    <m/>
    <m/>
    <m/>
    <m/>
    <m/>
    <m/>
    <m/>
    <m/>
    <m/>
    <m/>
    <m/>
    <m/>
    <m/>
    <m/>
    <n v="60.085833333333333"/>
    <n v="3.53"/>
    <n v="9.2866666666666671"/>
    <n v="7.2474999999999996"/>
    <n v="59.9375"/>
    <n v="6.873333333333334"/>
    <n v="12.395833333333334"/>
    <n v="27.14833333333333"/>
    <n v="58.74"/>
    <n v="80.804999999999993"/>
    <n v="19.195"/>
    <n v="96.663333333333341"/>
    <n v="3.3366666666666664"/>
    <n v="21.4575"/>
    <n v="23.946666666666669"/>
    <n v="30.16416666666667"/>
    <n v="24.359166666666667"/>
    <n v="7.3333333333333334E-2"/>
    <n v="65.204999999999998"/>
    <n v="6.4766666666666666"/>
    <n v="23.647499999999997"/>
    <n v="4.67"/>
    <n v="0"/>
    <m/>
    <m/>
    <m/>
    <m/>
    <m/>
    <m/>
    <m/>
    <m/>
    <m/>
    <m/>
    <m/>
    <m/>
    <m/>
    <m/>
    <m/>
    <n v="13.963333333333333"/>
    <n v="21.012499999999999"/>
    <n v="35.593333333333334"/>
    <n v="29.374166666666667"/>
    <n v="5.4166666666666669E-2"/>
    <n v="90.786666666666676"/>
    <n v="9.2133333333333329"/>
    <n v="26.659166666666668"/>
    <n v="26.233333333333334"/>
    <n v="28.431666666666668"/>
    <n v="18.590833333333332"/>
    <n v="8.2500000000000004E-2"/>
    <n v="53.144166666666671"/>
    <n v="6.1075000000000008"/>
    <n v="36.175000000000004"/>
    <n v="4.5708333333333337"/>
    <n v="0"/>
    <m/>
    <m/>
    <m/>
    <m/>
    <m/>
    <m/>
    <m/>
    <m/>
    <m/>
    <m/>
    <m/>
    <m/>
    <m/>
    <m/>
    <m/>
    <n v="80.804999999999993"/>
    <n v="3.3366666666666664"/>
    <n v="6.5925000000000002"/>
    <n v="7.4775"/>
    <n v="59.074999999999996"/>
    <n v="7.6691666666666665"/>
    <n v="12.994999999999999"/>
    <n v="26.46166666666667"/>
    <n v="58.542499999999997"/>
    <n v="41.969166666666666"/>
    <n v="58.030833333333334"/>
    <n v="96.152499999999989"/>
    <n v="3.8475000000000001"/>
    <n v="18.139166666666668"/>
    <n v="21.250833333333333"/>
    <n v="33.9"/>
    <n v="26.656666666666666"/>
    <n v="5.4166666666666669E-2"/>
    <n v="64.734999999999999"/>
    <n v="2.3266666666666667"/>
    <n v="22.500833333333333"/>
    <n v="10.4375"/>
    <n v="0"/>
    <m/>
    <m/>
    <m/>
    <m/>
    <m/>
    <m/>
    <m/>
    <m/>
    <m/>
    <m/>
    <m/>
    <m/>
    <m/>
    <m/>
    <m/>
    <n v="6.8608333333333329"/>
    <n v="16.613333333333333"/>
    <n v="39.919166666666662"/>
    <n v="36.590833333333329"/>
    <n v="1.4166666666666666E-2"/>
    <n v="82.67"/>
    <n v="17.330000000000002"/>
    <n v="22.838333333333335"/>
    <n v="23.540000000000003"/>
    <n v="32.114166666666669"/>
    <n v="21.465833333333332"/>
    <n v="4.0833333333333333E-2"/>
    <n v="44.194166666666668"/>
    <n v="2.2749999999999999"/>
    <n v="41.635833333333331"/>
    <n v="11.897500000000001"/>
    <n v="0"/>
    <m/>
    <m/>
    <m/>
    <m/>
    <m/>
    <m/>
    <m/>
    <m/>
    <m/>
    <m/>
    <m/>
    <m/>
    <m/>
    <m/>
    <m/>
    <n v="41.969166666666666"/>
    <n v="3.8475000000000001"/>
    <n v="13.818333333333333"/>
    <n v="6.8575000000000008"/>
    <n v="61.398333333333333"/>
    <n v="5.5249999999999995"/>
    <n v="11.383333333333333"/>
    <n v="28.302499999999998"/>
    <n v="59.072499999999998"/>
    <n v="62.087499999999999"/>
    <n v="79.540000000000006"/>
    <n v="46.842500000000001"/>
    <n v="4.5691666666666668"/>
    <n v="4.3500000000000005"/>
    <n v="4.8908333333333331"/>
    <n v="9.0733333333333324"/>
    <n v="6.7600000000000007"/>
    <n v="12.5075"/>
    <n v="8.8066666666666666"/>
    <n v="8.9458333333333329"/>
    <n v="8.6016666666666666"/>
    <n v="67.467500000000001"/>
    <n v="65.889166666666668"/>
    <n v="69.82083333333334"/>
    <n v="6.0683333333333342"/>
    <n v="6.6350000000000007"/>
    <n v="5.2216666666666667"/>
    <n v="7.769166666666667"/>
    <n v="7.7891666666666666"/>
    <n v="7.7416666666666671"/>
    <n v="25.959166666666665"/>
    <n v="27.930833333333336"/>
    <n v="23.017499999999998"/>
    <n v="47.368333333333332"/>
    <n v="45.732499999999995"/>
    <n v="49.808333333333337"/>
    <m/>
    <m/>
    <m/>
    <m/>
    <m/>
    <m/>
    <m/>
    <m/>
    <m/>
    <m/>
    <m/>
    <m/>
    <m/>
    <m/>
    <m/>
    <m/>
    <m/>
    <m/>
    <m/>
    <m/>
    <m/>
    <m/>
    <m/>
    <m/>
    <m/>
    <m/>
    <m/>
    <n v="95.484999999999999"/>
    <n v="98.214166666666657"/>
    <n v="98.002499999999998"/>
    <n v="97.803333333333342"/>
    <n v="94.62"/>
    <n v="96.735833333333332"/>
    <n v="98.15666666666668"/>
    <n v="97.188333333333333"/>
    <n v="94.500833333333333"/>
    <n v="96.227500000000006"/>
    <n v="96.544166666666669"/>
    <n v="98.651666666666657"/>
    <n v="96.59333333333332"/>
    <n v="96.482500000000002"/>
    <n v="95.334166666666661"/>
    <n v="97.274999999999991"/>
    <n v="97.215833333333322"/>
    <n v="97.171666666666667"/>
    <n v="95.089999999999989"/>
    <n v="98.189166666666665"/>
    <n v="96.874166666666667"/>
    <n v="96.035833333333343"/>
    <n v="97.367500000000007"/>
    <n v="97.380833333333328"/>
    <n v="96.884999999999991"/>
    <n v="96.654999999999987"/>
    <n v="96.519166666666663"/>
    <n v="95.4375"/>
    <n v="95.274999999999991"/>
    <n v="97.752499999999998"/>
    <n v="97.744166666666672"/>
    <n v="96.379166666666663"/>
  </r>
  <r>
    <x v="2"/>
    <x v="2"/>
    <x v="2"/>
    <x v="2"/>
    <x v="2"/>
    <n v="19.386666666666667"/>
    <n v="22.571666666666669"/>
    <n v="31.910833333333333"/>
    <n v="26.065000000000001"/>
    <n v="6.25E-2"/>
    <n v="65.333333333333329"/>
    <n v="5.041666666666667"/>
    <n v="22.85166666666667"/>
    <n v="6.7716666666666674"/>
    <n v="0"/>
    <m/>
    <m/>
    <m/>
    <m/>
    <m/>
    <m/>
    <m/>
    <m/>
    <m/>
    <m/>
    <m/>
    <m/>
    <m/>
    <m/>
    <m/>
    <n v="9.3441666666666663"/>
    <n v="19.557500000000001"/>
    <n v="37.255833333333335"/>
    <n v="33.826666666666668"/>
    <n v="1.5833333333333335E-2"/>
    <n v="89.01166666666667"/>
    <n v="10.988333333333335"/>
    <n v="24.451666666666668"/>
    <n v="25.845833333333331"/>
    <n v="30.072500000000002"/>
    <n v="19.593333333333334"/>
    <n v="3.8333333333333337E-2"/>
    <n v="50.288333333333334"/>
    <n v="5.3183333333333334"/>
    <n v="37.569166666666668"/>
    <n v="6.8241666666666667"/>
    <n v="0"/>
    <m/>
    <m/>
    <m/>
    <m/>
    <m/>
    <m/>
    <m/>
    <m/>
    <m/>
    <m/>
    <m/>
    <m/>
    <m/>
    <m/>
    <m/>
    <n v="60.049166666666672"/>
    <n v="3.6149999999999998"/>
    <n v="9.8816666666666659"/>
    <n v="7.23"/>
    <n v="60.482499999999995"/>
    <n v="7.21"/>
    <n v="11.328333333333333"/>
    <n v="27.177499999999998"/>
    <n v="58.261666666666663"/>
    <n v="80.392499999999998"/>
    <n v="19.607499999999998"/>
    <n v="96.600000000000009"/>
    <n v="3.4"/>
    <n v="20.361666666666668"/>
    <n v="23.566666666666666"/>
    <n v="30.848333333333333"/>
    <n v="25.166666666666668"/>
    <n v="5.5833333333333339E-2"/>
    <n v="65.789166666666674"/>
    <n v="6.56"/>
    <n v="23.050833333333333"/>
    <n v="4.5991666666666662"/>
    <n v="0"/>
    <m/>
    <m/>
    <m/>
    <m/>
    <m/>
    <m/>
    <m/>
    <m/>
    <m/>
    <m/>
    <m/>
    <m/>
    <m/>
    <m/>
    <m/>
    <n v="11.647500000000001"/>
    <n v="21.42"/>
    <n v="35.788333333333334"/>
    <n v="31.126666666666665"/>
    <n v="1.8333333333333333E-2"/>
    <n v="92.32083333333334"/>
    <n v="7.6791666666666671"/>
    <n v="25.192499999999999"/>
    <n v="26.854166666666668"/>
    <n v="29.3125"/>
    <n v="18.600833333333334"/>
    <n v="4.0833333333333333E-2"/>
    <n v="53.714166666666671"/>
    <n v="6.5008333333333335"/>
    <n v="35.142499999999998"/>
    <n v="4.6425000000000001"/>
    <n v="0"/>
    <m/>
    <m/>
    <m/>
    <m/>
    <m/>
    <m/>
    <m/>
    <m/>
    <m/>
    <m/>
    <m/>
    <m/>
    <m/>
    <m/>
    <m/>
    <n v="80.392499999999998"/>
    <n v="3.4"/>
    <n v="7.0866666666666669"/>
    <n v="7.4108333333333327"/>
    <n v="59.826666666666661"/>
    <n v="7.9833333333333334"/>
    <n v="11.660833333333334"/>
    <n v="26.535"/>
    <n v="57.842500000000001"/>
    <n v="42.243333333333332"/>
    <n v="57.756666666666668"/>
    <n v="96.022499999999994"/>
    <n v="3.9775000000000005"/>
    <n v="17.749166666666667"/>
    <n v="20.907499999999999"/>
    <n v="33.690833333333337"/>
    <n v="27.573333333333334"/>
    <n v="7.7499999999999999E-2"/>
    <n v="64.571666666666673"/>
    <n v="2.4958333333333331"/>
    <n v="22.515833333333333"/>
    <n v="10.415833333333333"/>
    <n v="0"/>
    <m/>
    <m/>
    <m/>
    <m/>
    <m/>
    <m/>
    <m/>
    <m/>
    <m/>
    <m/>
    <m/>
    <m/>
    <m/>
    <m/>
    <m/>
    <n v="6.0466666666666669"/>
    <n v="16.896666666666665"/>
    <n v="39.363333333333337"/>
    <n v="37.685000000000002"/>
    <n v="0.01"/>
    <n v="84.291666666666671"/>
    <n v="15.708333333333334"/>
    <n v="22.763333333333332"/>
    <n v="23.620833333333334"/>
    <n v="31.769166666666667"/>
    <n v="21.819166666666664"/>
    <n v="2.9166666666666664E-2"/>
    <n v="42.56583333333333"/>
    <n v="2.65"/>
    <n v="43.028333333333336"/>
    <n v="11.755833333333333"/>
    <n v="0"/>
    <m/>
    <m/>
    <m/>
    <m/>
    <m/>
    <m/>
    <m/>
    <m/>
    <m/>
    <m/>
    <m/>
    <m/>
    <m/>
    <m/>
    <m/>
    <n v="42.243333333333332"/>
    <n v="3.9775000000000005"/>
    <n v="14.534999999999998"/>
    <n v="6.9249999999999998"/>
    <n v="61.582500000000003"/>
    <n v="5.9208333333333334"/>
    <n v="10.770833333333334"/>
    <n v="28.246666666666666"/>
    <n v="58.955833333333338"/>
    <n v="62.030833333333334"/>
    <n v="79.109166666666667"/>
    <n v="47.033333333333331"/>
    <n v="4.7374999999999998"/>
    <n v="4.4441666666666668"/>
    <n v="5.1716666666666669"/>
    <n v="9.4625000000000004"/>
    <n v="7.1075000000000008"/>
    <n v="12.943333333333333"/>
    <n v="8.7583333333333329"/>
    <n v="8.7975000000000012"/>
    <n v="8.7008333333333336"/>
    <n v="68.105000000000004"/>
    <n v="66.584166666666661"/>
    <n v="70.372500000000002"/>
    <n v="6.4349999999999996"/>
    <n v="6.9891666666666667"/>
    <n v="5.6108333333333329"/>
    <n v="7.8274999999999997"/>
    <n v="7.915"/>
    <n v="7.6958333333333329"/>
    <n v="25.704999999999998"/>
    <n v="27.873333333333335"/>
    <n v="22.473333333333333"/>
    <n v="46.682500000000005"/>
    <n v="45.12833333333333"/>
    <n v="48.990833333333335"/>
    <m/>
    <m/>
    <m/>
    <m/>
    <m/>
    <m/>
    <m/>
    <m/>
    <m/>
    <m/>
    <m/>
    <m/>
    <m/>
    <m/>
    <m/>
    <m/>
    <m/>
    <m/>
    <m/>
    <m/>
    <m/>
    <m/>
    <m/>
    <m/>
    <m/>
    <m/>
    <m/>
    <n v="95.209166666666661"/>
    <n v="98.085833333333326"/>
    <n v="97.946666666666673"/>
    <n v="97.924166666666665"/>
    <n v="94.822499999999991"/>
    <n v="97.05083333333333"/>
    <n v="97.919166666666669"/>
    <n v="96.715833333333322"/>
    <n v="94.106666666666669"/>
    <n v="96.470833333333346"/>
    <n v="96.634166666666658"/>
    <n v="98.790833333333339"/>
    <n v="96.415833333333339"/>
    <n v="96.803333333333342"/>
    <n v="94.62833333333333"/>
    <n v="97.686666666666667"/>
    <n v="96.879166666666663"/>
    <n v="96.989166666666677"/>
    <n v="95.575833333333335"/>
    <n v="98.244166666666672"/>
    <n v="96.654999999999987"/>
    <n v="96.418333333333337"/>
    <n v="97.349166666666676"/>
    <n v="97.250833333333333"/>
    <n v="97.297499999999999"/>
    <n v="97.170833333333334"/>
    <n v="95.37166666666667"/>
    <n v="95.5"/>
    <n v="94.951666666666668"/>
    <n v="97.678333333333342"/>
    <n v="97.762500000000003"/>
    <n v="96.075000000000003"/>
  </r>
  <r>
    <x v="3"/>
    <x v="3"/>
    <x v="3"/>
    <x v="3"/>
    <x v="3"/>
    <n v="18.555833333333336"/>
    <n v="22.293333333333333"/>
    <n v="32.458333333333336"/>
    <n v="26.655833333333334"/>
    <n v="3.6666666666666667E-2"/>
    <n v="66.150833333333324"/>
    <n v="4.6983333333333333"/>
    <n v="22.501666666666665"/>
    <n v="6.6499999999999995"/>
    <n v="0"/>
    <m/>
    <m/>
    <m/>
    <m/>
    <m/>
    <m/>
    <m/>
    <m/>
    <m/>
    <m/>
    <m/>
    <m/>
    <m/>
    <m/>
    <m/>
    <n v="9.7874999999999996"/>
    <n v="20.844166666666666"/>
    <n v="36.170833333333334"/>
    <n v="33.186666666666667"/>
    <n v="9.1666666666666667E-3"/>
    <n v="89.958333333333329"/>
    <n v="10.041666666666666"/>
    <n v="22.430833333333336"/>
    <n v="26.146666666666665"/>
    <n v="31.087500000000002"/>
    <n v="20.310833333333331"/>
    <n v="2.4999999999999998E-2"/>
    <n v="52.230833333333329"/>
    <n v="5.3374999999999995"/>
    <n v="35.763333333333328"/>
    <n v="6.668333333333333"/>
    <n v="0"/>
    <m/>
    <m/>
    <m/>
    <m/>
    <m/>
    <m/>
    <m/>
    <m/>
    <m/>
    <m/>
    <m/>
    <m/>
    <m/>
    <m/>
    <m/>
    <n v="59.901666666666671"/>
    <n v="3.8833333333333333"/>
    <n v="9.9983333333333331"/>
    <n v="7.331666666666667"/>
    <n v="61.39083333333334"/>
    <n v="6.9133333333333331"/>
    <n v="10.672499999999999"/>
    <n v="27.390833333333333"/>
    <n v="58.552500000000002"/>
    <n v="80.021666666666661"/>
    <n v="19.978333333333335"/>
    <n v="96.205833333333331"/>
    <n v="3.7941666666666669"/>
    <n v="19.586666666666666"/>
    <n v="23.192499999999999"/>
    <n v="31.561666666666667"/>
    <n v="25.624166666666667"/>
    <n v="3.6666666666666667E-2"/>
    <n v="66.785833333333343"/>
    <n v="6.107499999999999"/>
    <n v="22.507499999999997"/>
    <n v="4.6016666666666666"/>
    <n v="0"/>
    <m/>
    <m/>
    <m/>
    <m/>
    <m/>
    <m/>
    <m/>
    <m/>
    <m/>
    <m/>
    <m/>
    <m/>
    <m/>
    <m/>
    <m/>
    <n v="11.785000000000002"/>
    <n v="23.896666666666665"/>
    <n v="34.83"/>
    <n v="29.4725"/>
    <n v="1.4999999999999999E-2"/>
    <n v="93.268333333333331"/>
    <n v="6.7316666666666665"/>
    <n v="23.439166666666665"/>
    <n v="26.769166666666667"/>
    <n v="30.239166666666666"/>
    <n v="19.526666666666667"/>
    <n v="2.3333333333333334E-2"/>
    <n v="56.275833333333331"/>
    <n v="6.45"/>
    <n v="32.708333333333336"/>
    <n v="4.565833333333333"/>
    <n v="0"/>
    <m/>
    <m/>
    <m/>
    <m/>
    <m/>
    <m/>
    <m/>
    <m/>
    <m/>
    <m/>
    <m/>
    <m/>
    <m/>
    <m/>
    <m/>
    <n v="80.021666666666661"/>
    <n v="3.7941666666666669"/>
    <n v="7.3816666666666668"/>
    <n v="7.6358333333333333"/>
    <n v="60.941666666666663"/>
    <n v="7.6258333333333335"/>
    <n v="10.86"/>
    <n v="26.719166666666666"/>
    <n v="58.16"/>
    <n v="42.119166666666665"/>
    <n v="57.880833333333328"/>
    <n v="95.966666666666654"/>
    <n v="4.0333333333333332"/>
    <n v="16.824166666666667"/>
    <n v="20.774166666666666"/>
    <n v="33.972500000000004"/>
    <n v="28.390833333333333"/>
    <n v="3.9166666666666669E-2"/>
    <n v="65.082499999999996"/>
    <n v="2.3258333333333332"/>
    <n v="22.491666666666664"/>
    <n v="10.1"/>
    <n v="0"/>
    <m/>
    <m/>
    <m/>
    <m/>
    <m/>
    <m/>
    <m/>
    <m/>
    <m/>
    <m/>
    <m/>
    <m/>
    <m/>
    <m/>
    <m/>
    <n v="6.6224999999999996"/>
    <n v="16.116666666666667"/>
    <n v="38.305833333333332"/>
    <n v="38.954999999999998"/>
    <n v="0"/>
    <n v="84.749166666666667"/>
    <n v="15.250833333333333"/>
    <n v="20.140833333333333"/>
    <n v="24.743333333333336"/>
    <n v="32.993333333333332"/>
    <n v="22.089166666666667"/>
    <n v="0.03"/>
    <n v="43.115000000000002"/>
    <n v="2.8374999999999999"/>
    <n v="42.612500000000004"/>
    <n v="11.436666666666667"/>
    <n v="0"/>
    <m/>
    <m/>
    <m/>
    <m/>
    <m/>
    <m/>
    <m/>
    <m/>
    <m/>
    <m/>
    <m/>
    <m/>
    <m/>
    <m/>
    <m/>
    <n v="42.119166666666665"/>
    <n v="4.0333333333333332"/>
    <n v="14.3925"/>
    <n v="6.8216666666666663"/>
    <n v="62.143333333333338"/>
    <n v="5.7108333333333334"/>
    <n v="10.359166666666667"/>
    <n v="28.521666666666665"/>
    <n v="59.208333333333336"/>
    <n v="61.716666666666669"/>
    <n v="78.461666666666659"/>
    <n v="46.950833333333328"/>
    <n v="4.8391666666666664"/>
    <n v="4.8441666666666672"/>
    <n v="4.83"/>
    <n v="9.5574999999999992"/>
    <n v="7.413333333333334"/>
    <n v="12.71"/>
    <n v="8.3858333333333324"/>
    <n v="8.7116666666666678"/>
    <n v="7.9050000000000002"/>
    <n v="68.931666666666658"/>
    <n v="67.545833333333334"/>
    <n v="70.981666666666669"/>
    <n v="6.1241666666666665"/>
    <n v="6.7108333333333334"/>
    <n v="5.2566666666666668"/>
    <n v="7.4125000000000005"/>
    <n v="7.3949999999999996"/>
    <n v="7.4383333333333335"/>
    <n v="25.9375"/>
    <n v="28.059166666666666"/>
    <n v="22.805000000000003"/>
    <n v="46.74"/>
    <n v="44.889999999999993"/>
    <n v="49.457500000000003"/>
    <m/>
    <m/>
    <m/>
    <m/>
    <m/>
    <m/>
    <m/>
    <m/>
    <m/>
    <m/>
    <m/>
    <m/>
    <m/>
    <m/>
    <m/>
    <m/>
    <m/>
    <m/>
    <m/>
    <m/>
    <m/>
    <m/>
    <m/>
    <m/>
    <m/>
    <m/>
    <m/>
    <n v="94.39"/>
    <n v="96.765833333333333"/>
    <n v="96.829166666666666"/>
    <n v="97.904999999999987"/>
    <n v="94.525833333333324"/>
    <n v="97.147499999999994"/>
    <n v="97.528333333333322"/>
    <n v="95.188333333333333"/>
    <n v="94.375833333333333"/>
    <n v="95.772499999999994"/>
    <n v="95.348333333333343"/>
    <n v="98.733333333333334"/>
    <n v="96.438333333333333"/>
    <n v="96.511666666666656"/>
    <n v="94.977500000000006"/>
    <n v="97.21833333333332"/>
    <n v="96.992500000000007"/>
    <n v="96.814999999999998"/>
    <n v="95.507499999999993"/>
    <n v="97.873333333333335"/>
    <n v="96.682500000000005"/>
    <n v="96.103333333333339"/>
    <n v="96.654999999999987"/>
    <n v="97.01166666666667"/>
    <n v="96.526666666666657"/>
    <n v="95.910833333333343"/>
    <n v="95.405833333333348"/>
    <n v="95.401666666666657"/>
    <n v="94.436666666666667"/>
    <n v="97.476666666666674"/>
    <n v="97.673333333333332"/>
    <n v="96.282500000000013"/>
  </r>
  <r>
    <x v="4"/>
    <x v="4"/>
    <x v="4"/>
    <x v="4"/>
    <x v="4"/>
    <n v="17.534166666666668"/>
    <n v="21.945000000000004"/>
    <n v="32.55833333333333"/>
    <n v="27.894166666666667"/>
    <n v="6.8333333333333343E-2"/>
    <n v="65.394999999999996"/>
    <n v="4.4516666666666671"/>
    <n v="23.58583333333333"/>
    <n v="6.5691666666666668"/>
    <n v="0"/>
    <m/>
    <m/>
    <m/>
    <m/>
    <m/>
    <m/>
    <m/>
    <m/>
    <m/>
    <m/>
    <m/>
    <m/>
    <m/>
    <m/>
    <m/>
    <n v="9.9450000000000003"/>
    <n v="19.869166666666668"/>
    <n v="37.912500000000001"/>
    <n v="32.24583333333333"/>
    <n v="2.4999999999999998E-2"/>
    <n v="91.522499999999994"/>
    <n v="8.4775000000000009"/>
    <n v="20.247499999999999"/>
    <n v="24.704999999999998"/>
    <n v="32.945833333333333"/>
    <n v="22.032499999999999"/>
    <n v="7.0833333333333345E-2"/>
    <n v="53.211666666666666"/>
    <n v="5.0650000000000004"/>
    <n v="35.551666666666669"/>
    <n v="6.1724999999999994"/>
    <n v="0"/>
    <m/>
    <m/>
    <m/>
    <m/>
    <m/>
    <m/>
    <m/>
    <m/>
    <m/>
    <m/>
    <m/>
    <m/>
    <m/>
    <m/>
    <m/>
    <n v="59.868333333333332"/>
    <n v="5.34"/>
    <n v="11.514166666666666"/>
    <n v="9.0033333333333321"/>
    <n v="60.783333333333331"/>
    <n v="9.2333333333333325"/>
    <n v="12.558333333333332"/>
    <n v="28.290833333333335"/>
    <n v="59.916666666666664"/>
    <n v="79.093333333333334"/>
    <n v="20.906666666666666"/>
    <n v="94.657499999999985"/>
    <n v="5.3425000000000002"/>
    <n v="18.443333333333332"/>
    <n v="22.89916666666667"/>
    <n v="31.868333333333336"/>
    <n v="26.715833333333336"/>
    <n v="7.4166666666666672E-2"/>
    <n v="65.939166666666665"/>
    <n v="5.7958333333333334"/>
    <n v="23.521666666666665"/>
    <n v="4.7433333333333332"/>
    <n v="0"/>
    <m/>
    <m/>
    <m/>
    <m/>
    <m/>
    <m/>
    <m/>
    <m/>
    <m/>
    <m/>
    <m/>
    <m/>
    <m/>
    <m/>
    <m/>
    <n v="12.228333333333333"/>
    <n v="21.669166666666666"/>
    <n v="35.75416666666667"/>
    <n v="30.324166666666667"/>
    <n v="2.4999999999999998E-2"/>
    <n v="94.415833333333339"/>
    <n v="5.5841666666666674"/>
    <n v="20.690833333333334"/>
    <n v="25.525000000000002"/>
    <n v="32.307499999999997"/>
    <n v="21.408333333333331"/>
    <n v="6.9999999999999993E-2"/>
    <n v="57.024999999999999"/>
    <n v="6.1883333333333335"/>
    <n v="32.467500000000001"/>
    <n v="4.3183333333333334"/>
    <n v="0"/>
    <m/>
    <m/>
    <m/>
    <m/>
    <m/>
    <m/>
    <m/>
    <m/>
    <m/>
    <m/>
    <m/>
    <m/>
    <m/>
    <m/>
    <m/>
    <n v="79.093333333333334"/>
    <n v="5.3425000000000002"/>
    <n v="9.1191666666666666"/>
    <n v="9.5216666666666665"/>
    <n v="60.175833333333337"/>
    <n v="10.084166666666667"/>
    <n v="12.866666666666667"/>
    <n v="27.265833333333333"/>
    <n v="59.677500000000002"/>
    <n v="42.639166666666668"/>
    <n v="57.360833333333339"/>
    <n v="94.676666666666677"/>
    <n v="5.3233333333333333"/>
    <n v="16.014166666666668"/>
    <n v="20.36"/>
    <n v="33.708333333333336"/>
    <n v="29.857500000000002"/>
    <n v="5.9166666666666666E-2"/>
    <n v="64.49166666666666"/>
    <n v="2.2141666666666668"/>
    <n v="23.693333333333332"/>
    <n v="9.6"/>
    <n v="0"/>
    <m/>
    <m/>
    <m/>
    <m/>
    <m/>
    <m/>
    <m/>
    <m/>
    <m/>
    <m/>
    <m/>
    <m/>
    <m/>
    <m/>
    <m/>
    <n v="6.0650000000000004"/>
    <n v="16.773333333333333"/>
    <n v="41.547499999999999"/>
    <n v="35.588333333333331"/>
    <n v="2.6666666666666668E-2"/>
    <n v="86.638333333333335"/>
    <n v="13.361666666666666"/>
    <n v="19.375"/>
    <n v="22.983333333333334"/>
    <n v="34.306666666666665"/>
    <n v="23.264166666666668"/>
    <n v="7.0833333333333331E-2"/>
    <n v="44.714166666666664"/>
    <n v="2.6350000000000002"/>
    <n v="42.458333333333336"/>
    <n v="10.191666666666666"/>
    <n v="0"/>
    <m/>
    <m/>
    <m/>
    <m/>
    <m/>
    <m/>
    <m/>
    <m/>
    <m/>
    <m/>
    <m/>
    <m/>
    <m/>
    <m/>
    <m/>
    <n v="42.639166666666668"/>
    <n v="5.3233333333333333"/>
    <n v="15.489166666666668"/>
    <n v="8.1325000000000003"/>
    <n v="61.794999999999995"/>
    <n v="7.82"/>
    <n v="12.046666666666667"/>
    <n v="29.988333333333333"/>
    <n v="60.305"/>
    <n v="61.552500000000002"/>
    <n v="77.548333333333332"/>
    <n v="47.32"/>
    <n v="6.604166666666667"/>
    <n v="6.6774999999999993"/>
    <n v="6.4908333333333337"/>
    <n v="11.417499999999999"/>
    <n v="9.4641666666666655"/>
    <n v="14.266666666666666"/>
    <n v="10.518333333333333"/>
    <n v="11.0075"/>
    <n v="9.7991666666666664"/>
    <n v="68.25333333333333"/>
    <n v="66.72"/>
    <n v="70.480833333333337"/>
    <n v="9.0266666666666673"/>
    <n v="9.7200000000000006"/>
    <n v="8.0108333333333324"/>
    <n v="8.7900000000000009"/>
    <n v="8.8725000000000005"/>
    <n v="8.6691666666666674"/>
    <n v="26.734999999999999"/>
    <n v="28.737500000000001"/>
    <n v="23.818333333333332"/>
    <n v="47.868333333333332"/>
    <n v="46.276666666666671"/>
    <n v="50.185000000000002"/>
    <m/>
    <m/>
    <m/>
    <m/>
    <m/>
    <m/>
    <m/>
    <m/>
    <m/>
    <m/>
    <m/>
    <m/>
    <m/>
    <m/>
    <m/>
    <m/>
    <m/>
    <m/>
    <m/>
    <m/>
    <m/>
    <m/>
    <m/>
    <m/>
    <m/>
    <m/>
    <m/>
    <n v="92.606666666666669"/>
    <n v="93.49666666666667"/>
    <n v="94.474166666666676"/>
    <n v="97.229166666666671"/>
    <n v="91.78083333333332"/>
    <n v="95.63"/>
    <n v="97.616666666666674"/>
    <n v="91.606666666666669"/>
    <n v="93.237499999999997"/>
    <n v="93.551666666666662"/>
    <n v="93.981666666666669"/>
    <n v="98.255833333333328"/>
    <n v="94.407500000000013"/>
    <n v="94.944166666666661"/>
    <n v="93.025833333333324"/>
    <n v="96.444166666666661"/>
    <n v="96.181666666666672"/>
    <n v="96.307500000000005"/>
    <n v="92.768333333333331"/>
    <n v="97.884166666666673"/>
    <n v="95.641666666666666"/>
    <n v="92.354166666666671"/>
    <n v="94.8125"/>
    <n v="96"/>
    <n v="95.478333333333339"/>
    <n v="93.984999999999999"/>
    <n v="94.235833333333332"/>
    <n v="93.723333333333343"/>
    <n v="93.414166666666674"/>
    <n v="97.049166666666665"/>
    <n v="96.984999999999999"/>
    <n v="95.200833333333335"/>
  </r>
  <r>
    <x v="5"/>
    <x v="5"/>
    <x v="5"/>
    <x v="5"/>
    <x v="5"/>
    <n v="16.684166666666666"/>
    <n v="21.275833333333335"/>
    <n v="33.045833333333334"/>
    <n v="28.929166666666664"/>
    <n v="6.4166666666666664E-2"/>
    <n v="66.379166666666663"/>
    <n v="4.5016666666666669"/>
    <n v="22.551666666666666"/>
    <n v="6.5674999999999999"/>
    <n v="0"/>
    <m/>
    <m/>
    <m/>
    <m/>
    <m/>
    <m/>
    <m/>
    <m/>
    <m/>
    <m/>
    <m/>
    <m/>
    <m/>
    <m/>
    <m/>
    <n v="9.4358333333333331"/>
    <n v="18.900833333333335"/>
    <n v="37.842500000000001"/>
    <n v="33.763333333333335"/>
    <n v="5.7500000000000002E-2"/>
    <n v="90.616666666666674"/>
    <n v="9.3833333333333346"/>
    <n v="21.201666666666664"/>
    <n v="25.030833333333334"/>
    <n v="32.429166666666667"/>
    <n v="21.27"/>
    <n v="6.8333333333333343E-2"/>
    <n v="50.738333333333337"/>
    <n v="5.3183333333333334"/>
    <n v="37.031666666666666"/>
    <n v="6.9108333333333336"/>
    <n v="0"/>
    <m/>
    <m/>
    <m/>
    <m/>
    <m/>
    <m/>
    <m/>
    <m/>
    <m/>
    <m/>
    <m/>
    <m/>
    <m/>
    <m/>
    <m/>
    <n v="59.629999999999995"/>
    <n v="5.2758333333333338"/>
    <n v="11.570833333333333"/>
    <n v="9.2216666666666658"/>
    <n v="61.848333333333336"/>
    <n v="8.6358333333333324"/>
    <n v="12.154166666666667"/>
    <n v="27.97666666666667"/>
    <n v="59.876666666666665"/>
    <n v="78.781666666666666"/>
    <n v="21.218333333333334"/>
    <n v="94.649999999999991"/>
    <n v="5.3500000000000005"/>
    <n v="17.537499999999998"/>
    <n v="22.260833333333334"/>
    <n v="32.670833333333334"/>
    <n v="27.456666666666667"/>
    <n v="7.4999999999999997E-2"/>
    <n v="66.961666666666659"/>
    <n v="5.857499999999999"/>
    <n v="22.313333333333333"/>
    <n v="4.8650000000000002"/>
    <n v="0"/>
    <m/>
    <m/>
    <m/>
    <m/>
    <m/>
    <m/>
    <m/>
    <m/>
    <m/>
    <m/>
    <m/>
    <m/>
    <m/>
    <m/>
    <m/>
    <n v="11.3925"/>
    <n v="21.321666666666669"/>
    <n v="36.170833333333334"/>
    <n v="31.03833333333333"/>
    <n v="8.1666666666666665E-2"/>
    <n v="93.32416666666667"/>
    <n v="6.6758333333333333"/>
    <n v="21.855833333333333"/>
    <n v="26.093333333333334"/>
    <n v="31.503333333333334"/>
    <n v="20.455833333333334"/>
    <n v="9.1666666666666674E-2"/>
    <n v="55.079166666666673"/>
    <n v="6.5350000000000001"/>
    <n v="33.365833333333335"/>
    <n v="5.019166666666667"/>
    <n v="0"/>
    <m/>
    <m/>
    <m/>
    <m/>
    <m/>
    <m/>
    <m/>
    <m/>
    <m/>
    <m/>
    <m/>
    <m/>
    <m/>
    <m/>
    <m/>
    <n v="78.781666666666666"/>
    <n v="5.3500000000000005"/>
    <n v="9.2058333333333326"/>
    <n v="9.8408333333333342"/>
    <n v="61.241666666666667"/>
    <n v="9.5658333333333339"/>
    <n v="12.465000000000002"/>
    <n v="26.925000000000001"/>
    <n v="59.542499999999997"/>
    <n v="42.37916666666667"/>
    <n v="57.620833333333337"/>
    <n v="94.853333333333339"/>
    <n v="5.1466666666666665"/>
    <n v="15.261666666666665"/>
    <n v="19.63"/>
    <n v="33.674999999999997"/>
    <n v="31.385000000000002"/>
    <n v="4.6666666666666669E-2"/>
    <n v="65.405000000000001"/>
    <n v="2.2383333333333333"/>
    <n v="22.945000000000004"/>
    <n v="9.4124999999999996"/>
    <n v="0"/>
    <m/>
    <m/>
    <m/>
    <m/>
    <m/>
    <m/>
    <m/>
    <m/>
    <m/>
    <m/>
    <m/>
    <m/>
    <m/>
    <m/>
    <m/>
    <n v="6.0041666666666664"/>
    <n v="14.691666666666668"/>
    <n v="40.646666666666668"/>
    <n v="38.641666666666666"/>
    <n v="1.7500000000000002E-2"/>
    <n v="85.924166666666665"/>
    <n v="14.075833333333334"/>
    <n v="19.723333333333333"/>
    <n v="22.63"/>
    <n v="34.506666666666668"/>
    <n v="23.13"/>
    <n v="1.3333333333333334E-2"/>
    <n v="40.924166666666665"/>
    <n v="2.58"/>
    <n v="45.319166666666668"/>
    <n v="11.1775"/>
    <n v="0"/>
    <m/>
    <m/>
    <m/>
    <m/>
    <m/>
    <m/>
    <m/>
    <m/>
    <m/>
    <m/>
    <m/>
    <m/>
    <m/>
    <m/>
    <m/>
    <n v="42.37916666666667"/>
    <n v="5.1466666666666665"/>
    <n v="15.527499999999998"/>
    <n v="8.1850000000000005"/>
    <n v="62.858333333333327"/>
    <n v="7.0824999999999996"/>
    <n v="11.638333333333334"/>
    <n v="29.734166666666667"/>
    <n v="60.433333333333337"/>
    <n v="61.343333333333334"/>
    <n v="77.382500000000007"/>
    <n v="47.06"/>
    <n v="6.3566666666666665"/>
    <n v="6.4958333333333336"/>
    <n v="6.1475"/>
    <n v="11.095833333333333"/>
    <n v="9.1908333333333321"/>
    <n v="13.885"/>
    <n v="10.2475"/>
    <n v="10.851666666666667"/>
    <n v="9.3616666666666664"/>
    <n v="69.391666666666666"/>
    <n v="68.168333333333337"/>
    <n v="71.170833333333334"/>
    <n v="7.5108333333333333"/>
    <n v="8.1191666666666666"/>
    <n v="6.6258333333333335"/>
    <n v="8.9824999999999999"/>
    <n v="9.2891666666666666"/>
    <n v="8.5391666666666666"/>
    <n v="26.954999999999998"/>
    <n v="28.906666666666666"/>
    <n v="24.105833333333333"/>
    <n v="48.162500000000001"/>
    <n v="46.474166666666669"/>
    <n v="50.620000000000005"/>
    <m/>
    <m/>
    <m/>
    <m/>
    <m/>
    <m/>
    <m/>
    <m/>
    <m/>
    <m/>
    <m/>
    <m/>
    <m/>
    <m/>
    <m/>
    <m/>
    <m/>
    <m/>
    <m/>
    <m/>
    <m/>
    <m/>
    <m/>
    <m/>
    <m/>
    <m/>
    <m/>
    <n v="93.177500000000009"/>
    <n v="94.417500000000004"/>
    <n v="94.191666666666663"/>
    <n v="96.919166666666669"/>
    <n v="92.401666666666657"/>
    <n v="95.541666666666671"/>
    <n v="97.370833333333337"/>
    <n v="92.865833333333327"/>
    <n v="93.236666666666665"/>
    <n v="94.668333333333337"/>
    <n v="94.077500000000001"/>
    <n v="98.041666666666671"/>
    <n v="95.770833333333329"/>
    <n v="94.68"/>
    <n v="93.33"/>
    <n v="96.461666666666659"/>
    <n v="95.776666666666657"/>
    <n v="95.910833333333343"/>
    <n v="93.52"/>
    <n v="97.603333333333339"/>
    <n v="95.98833333333333"/>
    <n v="93.23833333333333"/>
    <n v="94.87166666666667"/>
    <n v="95.970000000000013"/>
    <n v="95.686666666666667"/>
    <n v="92.666666666666671"/>
    <n v="92.450833333333335"/>
    <n v="92.853333333333339"/>
    <n v="93.414166666666674"/>
    <n v="96.660833333333343"/>
    <n v="97.087499999999991"/>
    <n v="94.932500000000005"/>
  </r>
  <r>
    <x v="6"/>
    <x v="6"/>
    <x v="6"/>
    <x v="6"/>
    <x v="6"/>
    <n v="15.6875"/>
    <n v="20.637499999999999"/>
    <n v="33.480833333333329"/>
    <n v="30.146666666666665"/>
    <n v="4.9166666666666671E-2"/>
    <n v="66.114999999999995"/>
    <n v="4.8166666666666664"/>
    <n v="22.809166666666666"/>
    <n v="6.2625000000000002"/>
    <n v="0"/>
    <m/>
    <m/>
    <m/>
    <m/>
    <m/>
    <m/>
    <m/>
    <m/>
    <m/>
    <m/>
    <m/>
    <m/>
    <m/>
    <m/>
    <m/>
    <n v="9.1791666666666671"/>
    <n v="18.8825"/>
    <n v="36.974166666666669"/>
    <n v="34.919166666666662"/>
    <n v="4.6666666666666669E-2"/>
    <n v="90.282499999999985"/>
    <n v="9.7174999999999994"/>
    <n v="19.800833333333333"/>
    <n v="24.622499999999999"/>
    <n v="33.393333333333338"/>
    <n v="22.141666666666666"/>
    <n v="4.0833333333333333E-2"/>
    <n v="50.705833333333338"/>
    <n v="5.2958333333333334"/>
    <n v="37.258333333333333"/>
    <n v="6.7416666666666671"/>
    <n v="0"/>
    <m/>
    <m/>
    <m/>
    <m/>
    <m/>
    <m/>
    <m/>
    <m/>
    <m/>
    <m/>
    <m/>
    <m/>
    <m/>
    <m/>
    <m/>
    <n v="59.729166666666664"/>
    <n v="5.1758333333333333"/>
    <n v="11.338333333333333"/>
    <n v="9.0408333333333335"/>
    <n v="61.745833333333337"/>
    <n v="8.6058333333333348"/>
    <n v="11.452500000000001"/>
    <n v="28.608333333333334"/>
    <n v="59.829166666666673"/>
    <n v="78.603333333333339"/>
    <n v="21.396666666666665"/>
    <n v="94.81"/>
    <n v="5.19"/>
    <n v="16.591666666666665"/>
    <n v="21.59"/>
    <n v="33.05833333333333"/>
    <n v="28.708333333333332"/>
    <n v="5.2499999999999998E-2"/>
    <n v="66.745833333333337"/>
    <n v="6.2333333333333334"/>
    <n v="22.618333333333336"/>
    <n v="4.4033333333333333"/>
    <n v="0"/>
    <m/>
    <m/>
    <m/>
    <m/>
    <m/>
    <m/>
    <m/>
    <m/>
    <m/>
    <m/>
    <m/>
    <m/>
    <m/>
    <m/>
    <m/>
    <n v="11.13"/>
    <n v="20.765000000000001"/>
    <n v="36.104999999999997"/>
    <n v="31.943333333333332"/>
    <n v="5.7499999999999996E-2"/>
    <n v="93.44"/>
    <n v="6.56"/>
    <n v="20.515833333333333"/>
    <n v="25.442499999999999"/>
    <n v="32.728333333333332"/>
    <n v="21.274166666666666"/>
    <n v="4.1666666666666664E-2"/>
    <n v="55.168333333333329"/>
    <n v="6.461666666666666"/>
    <n v="33.557499999999997"/>
    <n v="4.8133333333333335"/>
    <n v="0"/>
    <m/>
    <m/>
    <m/>
    <m/>
    <m/>
    <m/>
    <m/>
    <m/>
    <m/>
    <m/>
    <m/>
    <m/>
    <m/>
    <m/>
    <m/>
    <n v="78.603333333333339"/>
    <n v="5.19"/>
    <n v="8.9450000000000003"/>
    <n v="9.5966666666666658"/>
    <n v="61.235833333333339"/>
    <n v="9.4658333333333342"/>
    <n v="11.739166666666668"/>
    <n v="27.557500000000001"/>
    <n v="59.436666666666667"/>
    <n v="42.648333333333333"/>
    <n v="57.351666666666667"/>
    <n v="94.850833333333341"/>
    <n v="5.1491666666666669"/>
    <n v="14.178333333333333"/>
    <n v="19.051666666666666"/>
    <n v="34.185833333333335"/>
    <n v="32.543333333333329"/>
    <n v="4.1666666666666664E-2"/>
    <n v="65.069166666666661"/>
    <n v="2.4533333333333336"/>
    <n v="23.122500000000002"/>
    <n v="9.3566666666666674"/>
    <n v="0"/>
    <m/>
    <m/>
    <m/>
    <m/>
    <m/>
    <m/>
    <m/>
    <m/>
    <m/>
    <m/>
    <m/>
    <m/>
    <m/>
    <m/>
    <m/>
    <n v="5.8341666666666674"/>
    <n v="15.725"/>
    <n v="38.412500000000001"/>
    <n v="39.9925"/>
    <n v="3.3333333333333333E-2"/>
    <n v="84.957499999999996"/>
    <n v="15.042499999999999"/>
    <n v="18.224999999999998"/>
    <n v="22.826666666666668"/>
    <n v="34.861666666666672"/>
    <n v="24.044166666666666"/>
    <n v="4.2500000000000003E-2"/>
    <n v="40.9375"/>
    <n v="2.7241666666666666"/>
    <n v="45.372500000000002"/>
    <n v="10.964166666666666"/>
    <n v="0"/>
    <m/>
    <m/>
    <m/>
    <m/>
    <m/>
    <m/>
    <m/>
    <m/>
    <m/>
    <m/>
    <m/>
    <m/>
    <m/>
    <m/>
    <m/>
    <n v="42.648333333333333"/>
    <n v="5.1491666666666669"/>
    <n v="15.327500000000001"/>
    <n v="8.1141666666666676"/>
    <n v="62.609999999999992"/>
    <n v="7.1783333333333337"/>
    <n v="10.968333333333334"/>
    <n v="30.35083333333333"/>
    <n v="60.479166666666664"/>
    <n v="61.449166666666663"/>
    <n v="77.329166666666666"/>
    <n v="47.25333333333333"/>
    <n v="5.9466666666666663"/>
    <n v="6.0291666666666659"/>
    <n v="5.8275000000000006"/>
    <n v="10.457500000000001"/>
    <n v="8.5150000000000006"/>
    <n v="13.295833333333334"/>
    <n v="9.5066666666666659"/>
    <n v="10.005000000000001"/>
    <n v="8.7799999999999994"/>
    <n v="69.295833333333334"/>
    <n v="68.102500000000006"/>
    <n v="71.047499999999999"/>
    <n v="7.0783333333333331"/>
    <n v="7.6116666666666672"/>
    <n v="6.3049999999999997"/>
    <n v="8.2966666666666669"/>
    <n v="8.4249999999999989"/>
    <n v="8.1116666666666664"/>
    <n v="27.254999999999999"/>
    <n v="29.392499999999998"/>
    <n v="24.125833333333333"/>
    <n v="47.909166666666664"/>
    <n v="46.458333333333336"/>
    <n v="50.022500000000001"/>
    <m/>
    <m/>
    <m/>
    <m/>
    <m/>
    <m/>
    <m/>
    <m/>
    <m/>
    <m/>
    <m/>
    <m/>
    <m/>
    <m/>
    <m/>
    <m/>
    <m/>
    <m/>
    <m/>
    <m/>
    <m/>
    <m/>
    <m/>
    <m/>
    <m/>
    <m/>
    <m/>
    <n v="93.237499999999997"/>
    <n v="93.959166666666661"/>
    <n v="94.178333333333327"/>
    <n v="97.034166666666678"/>
    <n v="94.032500000000013"/>
    <n v="95.510833333333338"/>
    <n v="97.839166666666657"/>
    <n v="93.068333333333328"/>
    <n v="93.667500000000004"/>
    <n v="93.541666666666671"/>
    <n v="94.088333333333324"/>
    <n v="97.575000000000003"/>
    <n v="95.485833333333332"/>
    <n v="94.685833333333335"/>
    <n v="93.789166666666674"/>
    <n v="97.113333333333344"/>
    <n v="96.674166666666665"/>
    <n v="94.960833333333326"/>
    <n v="93.898333333333326"/>
    <n v="97.114166666666662"/>
    <n v="95.399166666666659"/>
    <n v="94.144999999999996"/>
    <n v="95.579166666666666"/>
    <n v="96.011666666666656"/>
    <n v="94.889166666666668"/>
    <n v="93.477500000000006"/>
    <n v="93.476666666666674"/>
    <n v="92.553333333333342"/>
    <n v="93.372500000000002"/>
    <n v="96.061666666666667"/>
    <n v="97.301666666666662"/>
    <n v="93.395833333333329"/>
  </r>
  <r>
    <x v="7"/>
    <x v="7"/>
    <x v="7"/>
    <x v="7"/>
    <x v="7"/>
    <n v="14.850833333333334"/>
    <n v="20.487500000000001"/>
    <n v="33.521666666666668"/>
    <n v="31.08583333333333"/>
    <n v="5.0833333333333335E-2"/>
    <n v="66.766666666666666"/>
    <n v="4.5483333333333329"/>
    <n v="22.474999999999998"/>
    <n v="6.21"/>
    <n v="0"/>
    <m/>
    <m/>
    <m/>
    <m/>
    <m/>
    <m/>
    <m/>
    <m/>
    <m/>
    <m/>
    <m/>
    <m/>
    <m/>
    <m/>
    <m/>
    <n v="8.4649999999999999"/>
    <n v="17.772500000000001"/>
    <n v="37.011666666666663"/>
    <n v="36.693333333333335"/>
    <n v="5.5833333333333339E-2"/>
    <n v="89.907500000000013"/>
    <n v="10.092499999999999"/>
    <n v="18.220833333333335"/>
    <n v="24.620833333333334"/>
    <n v="34.134999999999998"/>
    <n v="23.004999999999999"/>
    <n v="1.7500000000000002E-2"/>
    <n v="50.788333333333334"/>
    <n v="5.5241666666666669"/>
    <n v="37.001666666666665"/>
    <n v="6.6841666666666661"/>
    <n v="0"/>
    <m/>
    <m/>
    <m/>
    <m/>
    <m/>
    <m/>
    <m/>
    <m/>
    <m/>
    <m/>
    <m/>
    <m/>
    <m/>
    <m/>
    <m/>
    <n v="60.370833333333337"/>
    <n v="4.8891666666666671"/>
    <n v="11.39"/>
    <n v="8.8841666666666672"/>
    <n v="62.435000000000002"/>
    <n v="8.5908333333333342"/>
    <n v="11.955833333333333"/>
    <n v="28.75"/>
    <n v="60.071666666666665"/>
    <n v="78.855833333333337"/>
    <n v="21.144166666666667"/>
    <n v="95.111666666666665"/>
    <n v="4.8883333333333336"/>
    <n v="15.645000000000001"/>
    <n v="21.345833333333331"/>
    <n v="33.24583333333333"/>
    <n v="29.701666666666668"/>
    <n v="0.06"/>
    <n v="67.685833333333335"/>
    <n v="5.8624999999999998"/>
    <n v="21.940833333333334"/>
    <n v="4.5108333333333333"/>
    <n v="0"/>
    <m/>
    <m/>
    <m/>
    <m/>
    <m/>
    <m/>
    <m/>
    <m/>
    <m/>
    <m/>
    <m/>
    <m/>
    <m/>
    <m/>
    <m/>
    <n v="10.685"/>
    <n v="19.915833333333335"/>
    <n v="36.214166666666664"/>
    <n v="33.096666666666664"/>
    <n v="8.8333333333333333E-2"/>
    <n v="92.594999999999985"/>
    <n v="7.4050000000000002"/>
    <n v="18.993333333333336"/>
    <n v="25.569166666666664"/>
    <n v="33.293333333333329"/>
    <n v="22.119166666666668"/>
    <n v="2.416666666666667E-2"/>
    <n v="54.721666666666664"/>
    <n v="6.5975000000000001"/>
    <n v="33.283333333333331"/>
    <n v="5.3949999999999996"/>
    <n v="0"/>
    <m/>
    <m/>
    <m/>
    <m/>
    <m/>
    <m/>
    <m/>
    <m/>
    <m/>
    <m/>
    <m/>
    <m/>
    <m/>
    <m/>
    <m/>
    <n v="78.855833333333337"/>
    <n v="4.8883333333333336"/>
    <n v="8.8391666666666655"/>
    <n v="9.4075000000000006"/>
    <n v="62.174166666666672"/>
    <n v="9.4150000000000009"/>
    <n v="12.24"/>
    <n v="27.45"/>
    <n v="59.504999999999995"/>
    <n v="43.695833333333333"/>
    <n v="56.304166666666667"/>
    <n v="95.115000000000009"/>
    <n v="4.8849999999999998"/>
    <n v="13.555833333333332"/>
    <n v="19.090833333333332"/>
    <n v="33.973333333333336"/>
    <n v="33.344166666666666"/>
    <n v="3.5833333333333335E-2"/>
    <n v="65.279166666666669"/>
    <n v="2.4049999999999998"/>
    <n v="23.339166666666667"/>
    <n v="8.9749999999999996"/>
    <n v="0"/>
    <m/>
    <m/>
    <m/>
    <m/>
    <m/>
    <m/>
    <m/>
    <m/>
    <m/>
    <m/>
    <m/>
    <m/>
    <m/>
    <m/>
    <m/>
    <n v="4.8633333333333333"/>
    <n v="14.289166666666667"/>
    <n v="38.288333333333334"/>
    <n v="42.557499999999997"/>
    <n v="3.3333333333333335E-3"/>
    <n v="85.57"/>
    <n v="14.43"/>
    <n v="16.620833333333334"/>
    <n v="22.635833333333334"/>
    <n v="35.907499999999999"/>
    <n v="24.829166666666666"/>
    <n v="6.6666666666666671E-3"/>
    <n v="42.49"/>
    <n v="3.2408333333333332"/>
    <n v="44.844999999999999"/>
    <n v="9.4233333333333338"/>
    <n v="0"/>
    <m/>
    <m/>
    <m/>
    <m/>
    <m/>
    <m/>
    <m/>
    <m/>
    <m/>
    <m/>
    <m/>
    <m/>
    <m/>
    <m/>
    <m/>
    <n v="43.695833333333333"/>
    <n v="4.8849999999999998"/>
    <n v="15.540833333333333"/>
    <n v="8.0233333333333334"/>
    <n v="62.859999999999992"/>
    <n v="7.2458333333333336"/>
    <n v="11.5"/>
    <n v="30.864166666666666"/>
    <n v="60.987500000000004"/>
    <n v="62.137499999999996"/>
    <n v="77.748333333333335"/>
    <n v="48.352499999999999"/>
    <n v="5.79"/>
    <n v="5.8449999999999998"/>
    <n v="5.7091666666666674"/>
    <n v="10.730833333333335"/>
    <n v="8.5875000000000004"/>
    <n v="13.770833333333334"/>
    <n v="9.4233333333333338"/>
    <n v="9.7816666666666663"/>
    <n v="8.9124999999999996"/>
    <n v="69.88666666666667"/>
    <n v="68.92583333333333"/>
    <n v="71.254999999999995"/>
    <n v="6.998333333333334"/>
    <n v="7.5308333333333337"/>
    <n v="6.2383333333333333"/>
    <n v="8.8224999999999998"/>
    <n v="8.9833333333333325"/>
    <n v="8.5908333333333342"/>
    <n v="27.785"/>
    <n v="29.564166666666665"/>
    <n v="25.250833333333333"/>
    <n v="48.431666666666665"/>
    <n v="46.494999999999997"/>
    <n v="51.175000000000004"/>
    <m/>
    <m/>
    <m/>
    <m/>
    <m/>
    <m/>
    <m/>
    <m/>
    <m/>
    <m/>
    <m/>
    <m/>
    <m/>
    <m/>
    <m/>
    <m/>
    <m/>
    <m/>
    <m/>
    <m/>
    <m/>
    <m/>
    <m/>
    <m/>
    <m/>
    <m/>
    <m/>
    <n v="93.721666666666678"/>
    <n v="93.84416666666668"/>
    <n v="94.779166666666654"/>
    <n v="97.851666666666674"/>
    <n v="94.457499999999996"/>
    <n v="95.541666666666671"/>
    <n v="97.712499999999991"/>
    <n v="93.554166666666674"/>
    <n v="93.801666666666662"/>
    <n v="94.293333333333337"/>
    <n v="93.888333333333335"/>
    <n v="97.864166666666677"/>
    <n v="95.260833333333338"/>
    <n v="95.21916666666668"/>
    <n v="94.075833333333335"/>
    <n v="96.325000000000003"/>
    <n v="96.476666666666674"/>
    <n v="94.516666666666666"/>
    <n v="94.19583333333334"/>
    <n v="97.354166666666671"/>
    <n v="96.063333333333333"/>
    <n v="94.958333333333329"/>
    <n v="95.853333333333339"/>
    <n v="96.851666666666674"/>
    <n v="95.401666666666657"/>
    <n v="93.553333333333327"/>
    <n v="94.337499999999991"/>
    <n v="93.45"/>
    <n v="94.19916666666667"/>
    <n v="96.674999999999997"/>
    <n v="97.26166666666667"/>
    <n v="94.509999999999991"/>
  </r>
  <r>
    <x v="8"/>
    <x v="8"/>
    <x v="8"/>
    <x v="8"/>
    <x v="8"/>
    <n v="13.8825"/>
    <n v="19.708333333333332"/>
    <n v="33.973333333333336"/>
    <n v="32.381666666666668"/>
    <n v="5.5833333333333339E-2"/>
    <n v="67.155833333333334"/>
    <n v="4.3883333333333328"/>
    <n v="22.767499999999998"/>
    <n v="5.6866666666666665"/>
    <n v="0"/>
    <n v="100"/>
    <n v="13.338333333333333"/>
    <n v="23.919166666666666"/>
    <n v="3.5816666666666666"/>
    <n v="65.903333333333336"/>
    <n v="30.515833333333333"/>
    <n v="62.161666666666669"/>
    <n v="31.632499999999997"/>
    <n v="11.170833333333334"/>
    <n v="8.0133333333333336"/>
    <n v="10.968333333333334"/>
    <n v="13.215000000000002"/>
    <n v="17.241666666666667"/>
    <n v="7.7566666666666668"/>
    <n v="0.57916666666666672"/>
    <n v="7.8550000000000004"/>
    <n v="17.127500000000001"/>
    <n v="37.422499999999999"/>
    <n v="37.589999999999996"/>
    <n v="7.5000000000000006E-3"/>
    <n v="90.57"/>
    <n v="9.43"/>
    <n v="17.651666666666667"/>
    <n v="23.951666666666668"/>
    <n v="34.091666666666669"/>
    <n v="24.278333333333336"/>
    <n v="2.5833333333333333E-2"/>
    <n v="50.52"/>
    <n v="4.8633333333333333"/>
    <n v="38.197499999999998"/>
    <n v="6.4200000000000008"/>
    <n v="0"/>
    <n v="100"/>
    <n v="17.750833333333333"/>
    <n v="24.447500000000002"/>
    <n v="0.97833333333333339"/>
    <n v="49.531666666666666"/>
    <n v="49.488333333333337"/>
    <n v="57.199166666666663"/>
    <n v="36.203333333333333"/>
    <n v="12.902500000000002"/>
    <n v="8.0425000000000004"/>
    <n v="9.9041666666666668"/>
    <n v="6.0533333333333337"/>
    <n v="24.495833333333334"/>
    <n v="2.3975"/>
    <n v="0.60499999999999998"/>
    <n v="60.384999999999998"/>
    <n v="4.9424999999999999"/>
    <n v="11.234999999999999"/>
    <n v="8.99"/>
    <n v="62.896666666666668"/>
    <n v="8.3574999999999999"/>
    <n v="12.025"/>
    <n v="28.302499999999998"/>
    <n v="58.647500000000001"/>
    <n v="78.564166666666665"/>
    <n v="21.435833333333335"/>
    <n v="95.098333333333343"/>
    <n v="4.9016666666666664"/>
    <n v="14.918333333333335"/>
    <n v="20.396666666666665"/>
    <n v="33.958333333333336"/>
    <n v="30.668333333333333"/>
    <n v="5.9166666666666673E-2"/>
    <n v="67.73833333333333"/>
    <n v="5.6975000000000007"/>
    <n v="22.384166666666669"/>
    <n v="4.1775000000000002"/>
    <n v="0"/>
    <n v="100"/>
    <n v="19.200833333333332"/>
    <n v="28.754166666666666"/>
    <n v="4.104166666666667"/>
    <n v="56.085000000000001"/>
    <n v="39.810833333333335"/>
    <n v="51.420833333333327"/>
    <n v="29.982500000000002"/>
    <n v="8.7708333333333339"/>
    <n v="13.868333333333332"/>
    <n v="13.036666666666667"/>
    <n v="9.3974999999999991"/>
    <n v="15.445833333333333"/>
    <n v="9.5008333333333344"/>
    <n v="0.6283333333333333"/>
    <n v="9.7050000000000001"/>
    <n v="19.263333333333332"/>
    <n v="37.098333333333336"/>
    <n v="33.925000000000004"/>
    <n v="0.01"/>
    <n v="93.197499999999991"/>
    <n v="6.8024999999999993"/>
    <n v="18.7925"/>
    <n v="24.481666666666669"/>
    <n v="34.095833333333331"/>
    <n v="22.603333333333335"/>
    <n v="2.9166666666666671E-2"/>
    <n v="54.714166666666671"/>
    <n v="5.8383333333333338"/>
    <n v="34.564166666666665"/>
    <n v="4.8849999999999998"/>
    <n v="0"/>
    <n v="100"/>
    <n v="24.3125"/>
    <n v="29.641666666666666"/>
    <n v="1.1466666666666667"/>
    <n v="39.354166666666664"/>
    <n v="59.497500000000002"/>
    <n v="45.471666666666664"/>
    <n v="29.879166666666666"/>
    <n v="9.8816666666666659"/>
    <n v="14.103333333333333"/>
    <n v="12.835000000000001"/>
    <n v="4.7225000000000001"/>
    <n v="25.933333333333334"/>
    <n v="2.6441666666666666"/>
    <n v="0.5741666666666666"/>
    <n v="78.564166666666665"/>
    <n v="4.9016666666666664"/>
    <n v="8.7025000000000006"/>
    <n v="9.52"/>
    <n v="62.279166666666669"/>
    <n v="9.1658333333333335"/>
    <n v="12.388333333333334"/>
    <n v="27.004999999999999"/>
    <n v="58.07833333333334"/>
    <n v="44.01583333333334"/>
    <n v="55.98416666666666"/>
    <n v="94.990000000000009"/>
    <n v="5.01"/>
    <n v="12.218333333333334"/>
    <n v="18.600833333333334"/>
    <n v="33.998333333333335"/>
    <n v="35.137499999999996"/>
    <n v="4.8333333333333332E-2"/>
    <n v="66.22"/>
    <n v="2.2825000000000002"/>
    <n v="23.381666666666664"/>
    <n v="8.1166666666666671"/>
    <n v="0"/>
    <n v="100"/>
    <n v="3.9049999999999998"/>
    <n v="16.139166666666664"/>
    <n v="2.0766666666666667"/>
    <n v="94.064999999999998"/>
    <n v="3.8558333333333334"/>
    <n v="79.451666666666668"/>
    <n v="33.35"/>
    <n v="13.673333333333334"/>
    <n v="1.9133333333333333"/>
    <n v="8.8158333333333321"/>
    <n v="17.189166666666669"/>
    <n v="19.114166666666666"/>
    <n v="5.940833333333333"/>
    <n v="0.50083333333333335"/>
    <n v="4.9041666666666668"/>
    <n v="13.784999999999998"/>
    <n v="37.945"/>
    <n v="43.360833333333339"/>
    <n v="2.5000000000000001E-3"/>
    <n v="86.448333333333338"/>
    <n v="13.551666666666668"/>
    <n v="15.278333333333334"/>
    <n v="22.866666666666664"/>
    <n v="34.072499999999998"/>
    <n v="27.757499999999997"/>
    <n v="2.4999999999999998E-2"/>
    <n v="41.765833333333333"/>
    <n v="2.8325"/>
    <n v="45.776666666666671"/>
    <n v="9.625"/>
    <n v="0"/>
    <n v="100"/>
    <n v="4.064166666666666"/>
    <n v="13.599166666666667"/>
    <n v="0.21333333333333335"/>
    <n v="95.88666666666667"/>
    <n v="3.9"/>
    <n v="81.662500000000009"/>
    <n v="43.54666666666666"/>
    <n v="16.405000000000001"/>
    <n v="0.9916666666666667"/>
    <n v="6.4558333333333335"/>
    <n v="7.6224999999999996"/>
    <n v="22.848333333333333"/>
    <n v="2.125833333333333"/>
    <n v="0.67166666666666675"/>
    <n v="44.01583333333334"/>
    <n v="5.01"/>
    <n v="15.304166666666667"/>
    <n v="8.1349999999999998"/>
    <n v="63.892500000000005"/>
    <n v="7.06"/>
    <n v="11.4375"/>
    <n v="30.385000000000002"/>
    <n v="59.561666666666667"/>
    <n v="61.774999999999999"/>
    <n v="77.178333333333327"/>
    <n v="48.15"/>
    <n v="5.7275"/>
    <n v="5.7133333333333338"/>
    <n v="5.7508333333333335"/>
    <n v="10.540000000000001"/>
    <n v="8.4116666666666671"/>
    <n v="13.555833333333334"/>
    <n v="9.2941666666666674"/>
    <n v="9.7016666666666662"/>
    <n v="8.7166666666666668"/>
    <n v="69.506666666666661"/>
    <n v="68.555833333333325"/>
    <n v="70.861666666666665"/>
    <n v="6.875"/>
    <n v="7.4716666666666667"/>
    <n v="6.0324999999999998"/>
    <n v="9.2566666666666659"/>
    <n v="9.5391666666666666"/>
    <n v="8.8549999999999986"/>
    <n v="27.60166666666667"/>
    <n v="29.025000000000002"/>
    <n v="25.575833333333335"/>
    <n v="47.912500000000001"/>
    <n v="45.792499999999997"/>
    <n v="50.915833333333332"/>
    <m/>
    <m/>
    <m/>
    <m/>
    <m/>
    <m/>
    <m/>
    <m/>
    <m/>
    <m/>
    <m/>
    <m/>
    <m/>
    <m/>
    <m/>
    <m/>
    <m/>
    <m/>
    <m/>
    <m/>
    <m/>
    <m/>
    <m/>
    <m/>
    <m/>
    <m/>
    <m/>
    <n v="94.414166666666674"/>
    <n v="94.510833333333338"/>
    <n v="94.681666666666672"/>
    <n v="97.591666666666654"/>
    <n v="94.504166666666663"/>
    <n v="94.799166666666665"/>
    <n v="97.019166666666663"/>
    <n v="94.824166666666656"/>
    <n v="93.938333333333333"/>
    <n v="93.883333333333326"/>
    <n v="94.265833333333333"/>
    <n v="97.583333333333329"/>
    <n v="95.095833333333346"/>
    <n v="95.03083333333332"/>
    <n v="94.193333333333328"/>
    <n v="95.764166666666668"/>
    <n v="95.825000000000003"/>
    <n v="94.655000000000015"/>
    <n v="94.316666666666663"/>
    <n v="97.052500000000009"/>
    <n v="95.942499999999995"/>
    <n v="94.574166666666656"/>
    <n v="95.625833333333333"/>
    <n v="96.595000000000013"/>
    <n v="94.864166666666662"/>
    <n v="94.415000000000006"/>
    <n v="93.286666666666676"/>
    <n v="93.294166666666669"/>
    <n v="94.380833333333328"/>
    <n v="96.499166666666667"/>
    <n v="96.831666666666663"/>
    <n v="95.36333333333333"/>
  </r>
  <r>
    <x v="9"/>
    <x v="9"/>
    <x v="9"/>
    <x v="9"/>
    <x v="9"/>
    <n v="13.408333333333333"/>
    <n v="19.398333333333333"/>
    <n v="34.199999999999996"/>
    <n v="32.935833333333335"/>
    <n v="5.8333333333333341E-2"/>
    <n v="67.97"/>
    <n v="4.1725000000000003"/>
    <n v="22.354166666666668"/>
    <n v="5.503333333333333"/>
    <n v="0"/>
    <n v="100"/>
    <n v="13.455833333333333"/>
    <n v="24.435833333333335"/>
    <n v="3.3783333333333334"/>
    <n v="65.718333333333334"/>
    <n v="30.906666666666666"/>
    <n v="61.530833333333334"/>
    <n v="31.455833333333334"/>
    <n v="11.381666666666666"/>
    <n v="8.0133333333333336"/>
    <n v="11.200000000000001"/>
    <n v="13.192500000000001"/>
    <n v="17.073333333333334"/>
    <n v="7.6883333333333335"/>
    <n v="0.57750000000000001"/>
    <n v="6.6950000000000003"/>
    <n v="15.075000000000001"/>
    <n v="37.643333333333338"/>
    <n v="40.567500000000003"/>
    <n v="2.1666666666666667E-2"/>
    <n v="90.012500000000003"/>
    <n v="9.9874999999999989"/>
    <n v="17.381666666666668"/>
    <n v="23.849166666666665"/>
    <n v="34.530833333333334"/>
    <n v="24.2"/>
    <n v="3.4999999999999996E-2"/>
    <n v="50.366666666666667"/>
    <n v="4.7733333333333334"/>
    <n v="38.485833333333332"/>
    <n v="6.3741666666666665"/>
    <n v="0"/>
    <n v="100"/>
    <n v="18.113333333333333"/>
    <n v="24.525000000000002"/>
    <n v="0.73333333333333339"/>
    <n v="51.710833333333333"/>
    <n v="47.556666666666665"/>
    <n v="56.718333333333334"/>
    <n v="35.6875"/>
    <n v="12.884166666666667"/>
    <n v="8.0391666666666666"/>
    <n v="9.7575000000000003"/>
    <n v="6.4024999999999999"/>
    <n v="25.053333333333331"/>
    <n v="2.1716666666666664"/>
    <n v="0.64249999999999996"/>
    <n v="59.855833333333329"/>
    <n v="4.8383333333333338"/>
    <n v="11.018333333333333"/>
    <n v="8.6925000000000008"/>
    <n v="63.832500000000003"/>
    <n v="8.1066666666666674"/>
    <n v="11.668333333333335"/>
    <n v="27.366666666666664"/>
    <n v="57.672500000000007"/>
    <n v="78.284166666666664"/>
    <n v="21.715833333333332"/>
    <n v="95.176666666666662"/>
    <n v="4.8233333333333333"/>
    <n v="14.358333333333334"/>
    <n v="20.3675"/>
    <n v="34.167499999999997"/>
    <n v="31.050833333333333"/>
    <n v="5.7500000000000002E-2"/>
    <n v="68.349166666666662"/>
    <n v="5.3949999999999996"/>
    <n v="22.265000000000001"/>
    <n v="3.9908333333333332"/>
    <n v="0"/>
    <n v="100"/>
    <n v="19.378333333333334"/>
    <n v="29.298333333333332"/>
    <n v="3.8541666666666665"/>
    <n v="56.170833333333327"/>
    <n v="39.977499999999999"/>
    <n v="50.663333333333334"/>
    <n v="30.074166666666667"/>
    <n v="9.1233333333333331"/>
    <n v="13.845833333333333"/>
    <n v="13.603333333333333"/>
    <n v="9.2941666666666674"/>
    <n v="14.722499999999998"/>
    <n v="9.3358333333333334"/>
    <n v="0.65833333333333333"/>
    <n v="8.0791666666666675"/>
    <n v="17.206666666666667"/>
    <n v="37.547499999999999"/>
    <n v="37.134999999999998"/>
    <n v="3.0833333333333334E-2"/>
    <n v="92.480833333333337"/>
    <n v="7.519166666666667"/>
    <n v="18.432500000000001"/>
    <n v="24.64833333333333"/>
    <n v="34.001666666666665"/>
    <n v="22.874166666666667"/>
    <n v="4.3333333333333335E-2"/>
    <n v="54.796666666666674"/>
    <n v="5.7808333333333337"/>
    <n v="34.7425"/>
    <n v="4.6816666666666666"/>
    <n v="0"/>
    <n v="100"/>
    <n v="24.53916666666667"/>
    <n v="29.466666666666669"/>
    <n v="0.82"/>
    <n v="41.788333333333334"/>
    <n v="57.392500000000005"/>
    <n v="45.306666666666672"/>
    <n v="30.1875"/>
    <n v="9.7416666666666671"/>
    <n v="14.045"/>
    <n v="13.081666666666665"/>
    <n v="5.3575000000000008"/>
    <n v="25.029166666666669"/>
    <n v="2.5591666666666666"/>
    <n v="0.6875"/>
    <n v="78.284166666666664"/>
    <n v="4.8233333333333333"/>
    <n v="8.5308333333333337"/>
    <n v="9.2441666666666666"/>
    <n v="63.047500000000007"/>
    <n v="8.8633333333333333"/>
    <n v="12.191666666666668"/>
    <n v="26.367500000000003"/>
    <n v="57.255833333333335"/>
    <n v="43.164166666666667"/>
    <n v="56.835833333333333"/>
    <n v="95.134999999999991"/>
    <n v="4.8649999999999993"/>
    <n v="11.847499999999998"/>
    <n v="17.806666666666668"/>
    <n v="34.251666666666665"/>
    <n v="36.037500000000001"/>
    <n v="5.9166666666666666E-2"/>
    <n v="67.349166666666676"/>
    <n v="2.1591666666666667"/>
    <n v="22.502499999999998"/>
    <n v="7.9883333333333333"/>
    <n v="0"/>
    <n v="100"/>
    <n v="3.7191666666666667"/>
    <n v="16.445833333333333"/>
    <n v="1.9850000000000001"/>
    <n v="93.661666666666676"/>
    <n v="4.3533333333333335"/>
    <n v="79.390833333333333"/>
    <n v="32.904166666666669"/>
    <n v="13.75"/>
    <n v="1.8966666666666665"/>
    <n v="8.6749999999999989"/>
    <n v="17.278333333333332"/>
    <n v="19.537499999999998"/>
    <n v="5.9558333333333335"/>
    <n v="0.44249999999999995"/>
    <n v="4.4375"/>
    <n v="11.575833333333334"/>
    <n v="37.791666666666664"/>
    <n v="46.1875"/>
    <n v="6.6666666666666671E-3"/>
    <n v="85.987499999999997"/>
    <n v="14.012500000000001"/>
    <n v="15.137500000000001"/>
    <n v="22.159166666666664"/>
    <n v="35.661666666666669"/>
    <n v="27.02333333333333"/>
    <n v="2.0833333333333332E-2"/>
    <n v="40.946666666666665"/>
    <n v="2.6225000000000001"/>
    <n v="46.46"/>
    <n v="9.9691666666666663"/>
    <n v="0"/>
    <n v="100"/>
    <n v="4.456666666666667"/>
    <n v="14.055833333333332"/>
    <n v="0.38500000000000001"/>
    <n v="95.902499999999989"/>
    <n v="3.7108333333333334"/>
    <n v="80.935000000000002"/>
    <n v="42.264166666666668"/>
    <n v="16.584166666666665"/>
    <n v="0.90833333333333333"/>
    <n v="5.8024999999999993"/>
    <n v="7.6491666666666669"/>
    <n v="25.077500000000001"/>
    <n v="1.7125000000000001"/>
    <n v="0.55333333333333334"/>
    <n v="43.164166666666667"/>
    <n v="4.8649999999999993"/>
    <n v="15.099166666666667"/>
    <n v="7.7908333333333344"/>
    <n v="65.126666666666665"/>
    <n v="6.8591666666666669"/>
    <n v="10.814166666666667"/>
    <n v="29.009166666666669"/>
    <n v="58.354999999999997"/>
    <n v="60.919166666666662"/>
    <n v="76.467500000000001"/>
    <n v="47.069166666666668"/>
    <n v="5.8591666666666669"/>
    <n v="6.0575000000000001"/>
    <n v="5.57"/>
    <n v="10.577500000000001"/>
    <n v="8.6458333333333339"/>
    <n v="13.375"/>
    <n v="9.2091666666666665"/>
    <n v="9.7358333333333338"/>
    <n v="8.4533333333333331"/>
    <n v="70.172499999999999"/>
    <n v="69.05"/>
    <n v="71.791666666666671"/>
    <n v="6.6091666666666669"/>
    <n v="7.0916666666666659"/>
    <n v="5.9175000000000004"/>
    <n v="9.1816666666666666"/>
    <n v="9.6791666666666671"/>
    <n v="8.4599999999999991"/>
    <n v="26.958333333333332"/>
    <n v="28.694166666666664"/>
    <n v="24.4575"/>
    <n v="47.067499999999995"/>
    <n v="45.016666666666673"/>
    <n v="50.01583333333334"/>
    <m/>
    <m/>
    <m/>
    <m/>
    <m/>
    <m/>
    <m/>
    <m/>
    <m/>
    <m/>
    <m/>
    <m/>
    <m/>
    <m/>
    <m/>
    <m/>
    <m/>
    <m/>
    <m/>
    <m/>
    <m/>
    <m/>
    <m/>
    <m/>
    <m/>
    <m/>
    <m/>
    <n v="94.105833333333337"/>
    <n v="94.279999999999987"/>
    <n v="94.02"/>
    <n v="97.175833333333344"/>
    <n v="94.584166666666661"/>
    <n v="95.264166666666668"/>
    <n v="96.850000000000009"/>
    <n v="95.744166666666672"/>
    <n v="93.358333333333334"/>
    <n v="94.095833333333346"/>
    <n v="95.186666666666667"/>
    <n v="98.01166666666667"/>
    <n v="95.834166666666661"/>
    <n v="94.756666666666661"/>
    <n v="94.104166666666671"/>
    <n v="96.467500000000015"/>
    <n v="96.101666666666674"/>
    <n v="94.387500000000003"/>
    <n v="94.799166666666665"/>
    <n v="97.06583333333333"/>
    <n v="96.09416666666668"/>
    <n v="94.165833333333339"/>
    <n v="95.006666666666661"/>
    <n v="96.893333333333331"/>
    <n v="94.904166666666654"/>
    <n v="94.526666666666657"/>
    <n v="93.393333333333331"/>
    <n v="94.794166666666669"/>
    <n v="94.575833333333335"/>
    <n v="96.435000000000002"/>
    <n v="97.328333333333333"/>
    <n v="95.243333333333339"/>
  </r>
  <r>
    <x v="10"/>
    <x v="10"/>
    <x v="10"/>
    <x v="10"/>
    <x v="10"/>
    <n v="12.870833333333332"/>
    <n v="19.104166666666668"/>
    <n v="34.448333333333331"/>
    <n v="33.505000000000003"/>
    <n v="6.9999999999999993E-2"/>
    <n v="67.946666666666673"/>
    <n v="4.3650000000000002"/>
    <n v="22.405833333333334"/>
    <n v="5.2824999999999998"/>
    <n v="0"/>
    <n v="100"/>
    <n v="13.113333333333335"/>
    <n v="24.810000000000002"/>
    <n v="3.3283333333333331"/>
    <n v="65.11"/>
    <n v="31.563333333333333"/>
    <n v="61.49666666666667"/>
    <n v="31.201666666666668"/>
    <n v="11.839166666666666"/>
    <n v="8.0708333333333329"/>
    <n v="11.265833333333333"/>
    <n v="13.125"/>
    <n v="17.225833333333334"/>
    <n v="7.27"/>
    <n v="0.58166666666666667"/>
    <n v="6.2808333333333337"/>
    <n v="14.250833333333333"/>
    <n v="37.714166666666664"/>
    <n v="41.736666666666672"/>
    <n v="2.0833333333333332E-2"/>
    <n v="90.206666666666663"/>
    <n v="9.793333333333333"/>
    <n v="16.193333333333332"/>
    <n v="23.02"/>
    <n v="35.891666666666666"/>
    <n v="24.842500000000001"/>
    <n v="5.3333333333333337E-2"/>
    <n v="50.504166666666663"/>
    <n v="4.7474999999999996"/>
    <n v="38.954166666666666"/>
    <n v="5.7941666666666665"/>
    <n v="0"/>
    <n v="100"/>
    <n v="17.227499999999999"/>
    <n v="24.140833333333333"/>
    <n v="1.4083333333333332"/>
    <n v="50.889166666666661"/>
    <n v="47.704166666666673"/>
    <n v="57.983333333333327"/>
    <n v="35.862500000000004"/>
    <n v="12.548333333333334"/>
    <n v="8.7724999999999991"/>
    <n v="10.151666666666666"/>
    <n v="6.0916666666666659"/>
    <n v="24.455833333333334"/>
    <n v="2.1158333333333332"/>
    <n v="0.64916666666666667"/>
    <n v="59.861666666666672"/>
    <n v="4.3508333333333331"/>
    <n v="10.599166666666667"/>
    <n v="8.3066666666666666"/>
    <n v="63.786666666666669"/>
    <n v="8.3266666666666662"/>
    <n v="12.439166666666667"/>
    <n v="27.4175"/>
    <n v="57.759166666666665"/>
    <n v="78.000833333333333"/>
    <n v="21.999166666666667"/>
    <n v="95.764166666666668"/>
    <n v="4.2358333333333329"/>
    <n v="13.74"/>
    <n v="20.080000000000002"/>
    <n v="34.320833333333333"/>
    <n v="31.795833333333334"/>
    <n v="6.5833333333333341E-2"/>
    <n v="68.473333333333343"/>
    <n v="5.6158333333333337"/>
    <n v="22.073333333333334"/>
    <n v="3.8341666666666665"/>
    <n v="0"/>
    <n v="100"/>
    <n v="18.911666666666665"/>
    <n v="29.810833333333335"/>
    <n v="3.7666666666666671"/>
    <n v="55.357499999999995"/>
    <n v="40.874166666666667"/>
    <n v="50.63"/>
    <n v="29.736666666666665"/>
    <n v="9.56"/>
    <n v="14.036666666666667"/>
    <n v="13.801666666666668"/>
    <n v="9.3958333333333339"/>
    <n v="14.571666666666665"/>
    <n v="8.8974999999999991"/>
    <n v="0.64749999999999996"/>
    <n v="7.9991666666666674"/>
    <n v="16.173333333333336"/>
    <n v="37.138333333333335"/>
    <n v="38.660833333333336"/>
    <n v="2.8333333333333335E-2"/>
    <n v="93.02"/>
    <n v="6.98"/>
    <n v="16.82"/>
    <n v="24.050833333333333"/>
    <n v="35.648333333333333"/>
    <n v="23.4575"/>
    <n v="2.4166666666666666E-2"/>
    <n v="54.558333333333337"/>
    <n v="5.600833333333334"/>
    <n v="35.425000000000004"/>
    <n v="4.4183333333333339"/>
    <n v="0"/>
    <n v="100"/>
    <n v="24.0425"/>
    <n v="29.265000000000001"/>
    <n v="1.5274999999999999"/>
    <n v="40.556666666666665"/>
    <n v="57.914166666666667"/>
    <n v="45.970833333333331"/>
    <n v="29.558333333333334"/>
    <n v="9.6116666666666664"/>
    <n v="15.665833333333333"/>
    <n v="14.016666666666666"/>
    <n v="4.7208333333333332"/>
    <n v="24.0425"/>
    <n v="2.3858333333333333"/>
    <n v="0.72250000000000003"/>
    <n v="78.000833333333333"/>
    <n v="4.2358333333333329"/>
    <n v="7.9050000000000002"/>
    <n v="8.6824999999999992"/>
    <n v="63.120833333333337"/>
    <n v="8.9691666666666663"/>
    <n v="12.890833333333333"/>
    <n v="26.371666666666666"/>
    <n v="57.169166666666662"/>
    <n v="43.424166666666672"/>
    <n v="56.575833333333328"/>
    <n v="95.46833333333332"/>
    <n v="4.5316666666666672"/>
    <n v="11.451666666666666"/>
    <n v="17.511666666666667"/>
    <n v="34.657499999999999"/>
    <n v="36.302500000000002"/>
    <n v="7.6666666666666661E-2"/>
    <n v="67.088333333333338"/>
    <n v="2.3175000000000003"/>
    <n v="22.942499999999999"/>
    <n v="7.6483333333333334"/>
    <n v="0"/>
    <n v="100"/>
    <n v="3.6383333333333332"/>
    <n v="16.641666666666666"/>
    <n v="2.0449999999999999"/>
    <n v="93.635833333333338"/>
    <n v="4.3199999999999994"/>
    <n v="79.244166666666672"/>
    <n v="32.723333333333336"/>
    <n v="14.220833333333333"/>
    <n v="1.8458333333333332"/>
    <n v="8.6191666666666666"/>
    <n v="17.017499999999998"/>
    <n v="20"/>
    <n v="5.5733333333333333"/>
    <n v="0.47583333333333333"/>
    <n v="3.65"/>
    <n v="11.305"/>
    <n v="38.561666666666667"/>
    <n v="46.476666666666667"/>
    <n v="7.4999999999999997E-3"/>
    <n v="85.917500000000004"/>
    <n v="14.082500000000001"/>
    <n v="14.914166666666667"/>
    <n v="20.909166666666668"/>
    <n v="36.419166666666669"/>
    <n v="27.645833333333332"/>
    <n v="0.1125"/>
    <n v="42.324999999999996"/>
    <n v="3.0358333333333332"/>
    <n v="46.075833333333328"/>
    <n v="8.56"/>
    <n v="0"/>
    <n v="100"/>
    <n v="3.4541666666666671"/>
    <n v="13.825833333333334"/>
    <n v="0.91"/>
    <n v="95.081666666666663"/>
    <n v="4.0091666666666663"/>
    <n v="82.217500000000001"/>
    <n v="42.99"/>
    <n v="15.8775"/>
    <n v="0.98333333333333339"/>
    <n v="5.8208333333333329"/>
    <n v="7.6350000000000007"/>
    <n v="24.887499999999999"/>
    <n v="1.8083333333333333"/>
    <n v="0.50416666666666665"/>
    <n v="43.424166666666672"/>
    <n v="4.5316666666666672"/>
    <n v="14.979999999999999"/>
    <n v="7.69"/>
    <n v="64.874166666666667"/>
    <n v="7.2733333333333334"/>
    <n v="11.700833333333334"/>
    <n v="29.122500000000002"/>
    <n v="58.715833333333336"/>
    <n v="61.169999999999995"/>
    <n v="76.101666666666674"/>
    <n v="47.789166666666667"/>
    <n v="5.1258333333333335"/>
    <n v="5.0716666666666663"/>
    <n v="5.1974999999999998"/>
    <n v="10.0625"/>
    <n v="7.8058333333333332"/>
    <n v="13.285833333333334"/>
    <n v="8.9308333333333341"/>
    <n v="9.1916666666666664"/>
    <n v="8.5533333333333328"/>
    <n v="69.734999999999999"/>
    <n v="68.582499999999996"/>
    <n v="71.382500000000007"/>
    <n v="7.5308333333333337"/>
    <n v="7.980833333333333"/>
    <n v="6.8866666666666667"/>
    <n v="9.8708333333333318"/>
    <n v="10.185"/>
    <n v="9.4191666666666674"/>
    <n v="26.993333333333336"/>
    <n v="28.605833333333333"/>
    <n v="24.690833333333334"/>
    <n v="47.308333333333337"/>
    <n v="45.131666666666668"/>
    <n v="50.418333333333329"/>
    <m/>
    <m/>
    <m/>
    <m/>
    <m/>
    <m/>
    <m/>
    <m/>
    <m/>
    <m/>
    <m/>
    <m/>
    <m/>
    <m/>
    <m/>
    <m/>
    <m/>
    <m/>
    <m/>
    <m/>
    <m/>
    <m/>
    <m/>
    <m/>
    <m/>
    <m/>
    <m/>
    <n v="95.51166666666667"/>
    <n v="95.915833333333339"/>
    <n v="95.13"/>
    <n v="97.106666666666669"/>
    <n v="94.924166666666665"/>
    <n v="95.331666666666663"/>
    <n v="96.952500000000001"/>
    <n v="96.273333333333326"/>
    <n v="94.55"/>
    <n v="95.091666666666654"/>
    <n v="95.263333333333335"/>
    <n v="97.881666666666661"/>
    <n v="96.220833333333346"/>
    <n v="95.34333333333332"/>
    <n v="94.448333333333323"/>
    <n v="96.797499999999999"/>
    <n v="96.725000000000009"/>
    <n v="94.484166666666667"/>
    <n v="95.404999999999987"/>
    <n v="97.016666666666666"/>
    <n v="96.737499999999997"/>
    <n v="95.248333333333335"/>
    <n v="96.034166666666678"/>
    <n v="97.114166666666677"/>
    <n v="95.658333333333346"/>
    <n v="95.078333333333333"/>
    <n v="93.213333333333324"/>
    <n v="95.249166666666667"/>
    <n v="95.108333333333334"/>
    <n v="96.325000000000003"/>
    <n v="97.393333333333331"/>
    <n v="96.577500000000001"/>
  </r>
  <r>
    <x v="11"/>
    <x v="11"/>
    <x v="11"/>
    <x v="11"/>
    <x v="11"/>
    <n v="12.454166666666666"/>
    <n v="18.388333333333332"/>
    <n v="34.300000000000004"/>
    <n v="34.788333333333334"/>
    <n v="6.8333333333333343E-2"/>
    <n v="68.439166666666665"/>
    <n v="4.4550000000000001"/>
    <n v="22.252500000000001"/>
    <n v="4.8525"/>
    <n v="0"/>
    <n v="100"/>
    <n v="12.8025"/>
    <n v="25.410833333333333"/>
    <n v="3.0208333333333335"/>
    <n v="64.774166666666659"/>
    <n v="32.204166666666673"/>
    <n v="61.244166666666665"/>
    <n v="30.83666666666667"/>
    <n v="12.130833333333333"/>
    <n v="8.3583333333333325"/>
    <n v="11.348333333333334"/>
    <n v="13.055"/>
    <n v="17.118333333333332"/>
    <n v="7.1533333333333333"/>
    <n v="0.54083333333333339"/>
    <n v="5.2516666666666669"/>
    <n v="13.193333333333333"/>
    <n v="35.964166666666664"/>
    <n v="45.560833333333335"/>
    <n v="2.8333333333333335E-2"/>
    <n v="89.27"/>
    <n v="10.729999999999999"/>
    <n v="16.753333333333334"/>
    <n v="22.192499999999999"/>
    <n v="35.178333333333335"/>
    <n v="25.819166666666664"/>
    <n v="5.4166666666666669E-2"/>
    <n v="49.912500000000001"/>
    <n v="4.7766666666666664"/>
    <n v="39.613333333333337"/>
    <n v="5.6950000000000003"/>
    <n v="0"/>
    <n v="100"/>
    <n v="17.456666666666667"/>
    <n v="24.795000000000002"/>
    <n v="1.22"/>
    <n v="47.819166666666668"/>
    <n v="50.960833333333333"/>
    <n v="57.286666666666669"/>
    <n v="35.906666666666666"/>
    <n v="13.650833333333333"/>
    <n v="9.0525000000000002"/>
    <n v="9.7858333333333327"/>
    <n v="6.0058333333333325"/>
    <n v="23.721666666666664"/>
    <n v="1.8775000000000002"/>
    <n v="0.46249999999999997"/>
    <n v="59.723333333333336"/>
    <n v="3.8774999999999999"/>
    <n v="9.8800000000000008"/>
    <n v="7.2716666666666674"/>
    <n v="64.515000000000001"/>
    <n v="7.5958333333333341"/>
    <n v="13.737499999999999"/>
    <n v="27.057500000000001"/>
    <n v="57.103333333333332"/>
    <n v="77.685833333333335"/>
    <n v="22.314166666666665"/>
    <n v="96.166666666666671"/>
    <n v="3.8333333333333335"/>
    <n v="13.413333333333334"/>
    <n v="19.419166666666666"/>
    <n v="34.055833333333332"/>
    <n v="33.050833333333337"/>
    <n v="6.3333333333333339E-2"/>
    <n v="69.024999999999991"/>
    <n v="5.7633333333333328"/>
    <n v="21.805833333333336"/>
    <n v="3.4066666666666667"/>
    <n v="0"/>
    <n v="100"/>
    <n v="18.526666666666667"/>
    <n v="30.5825"/>
    <n v="3.4258333333333333"/>
    <n v="54.728333333333332"/>
    <n v="41.844166666666666"/>
    <n v="50.29666666666666"/>
    <n v="29.367500000000003"/>
    <n v="9.9"/>
    <n v="14.501666666666667"/>
    <n v="13.691666666666668"/>
    <n v="9.0741666666666667"/>
    <n v="14.664999999999999"/>
    <n v="8.8008333333333333"/>
    <n v="0.59250000000000003"/>
    <n v="6.3808333333333342"/>
    <n v="15.359166666666667"/>
    <n v="35.407499999999999"/>
    <n v="42.81583333333333"/>
    <n v="3.6666666666666667E-2"/>
    <n v="91.334166666666661"/>
    <n v="8.6658333333333335"/>
    <n v="17.631666666666668"/>
    <n v="23.495833333333334"/>
    <n v="33.984999999999999"/>
    <n v="24.819999999999997"/>
    <n v="7.0000000000000007E-2"/>
    <n v="54.695"/>
    <n v="5.690833333333333"/>
    <n v="35.557499999999997"/>
    <n v="4.0583333333333336"/>
    <n v="0"/>
    <n v="100"/>
    <n v="24.202500000000001"/>
    <n v="30.230833333333333"/>
    <n v="1.3225"/>
    <n v="37.143333333333338"/>
    <n v="61.534166666666664"/>
    <n v="45.056666666666665"/>
    <n v="29.300833333333333"/>
    <n v="10.774166666666666"/>
    <n v="16.327500000000001"/>
    <n v="12.943333333333333"/>
    <n v="4.5783333333333331"/>
    <n v="23.771666666666665"/>
    <n v="2.3075000000000001"/>
    <n v="0.51"/>
    <n v="77.685833333333335"/>
    <n v="3.8333333333333335"/>
    <n v="7.3083333333333336"/>
    <n v="7.69"/>
    <n v="64.037500000000009"/>
    <n v="8.2508333333333344"/>
    <n v="14.334166666666667"/>
    <n v="26.237500000000001"/>
    <n v="56.664999999999999"/>
    <n v="43.473333333333336"/>
    <n v="56.526666666666664"/>
    <n v="96.056666666666672"/>
    <n v="3.9433333333333334"/>
    <n v="10.903333333333334"/>
    <n v="16.718333333333334"/>
    <n v="34.696666666666665"/>
    <n v="37.607500000000002"/>
    <n v="7.4166666666666672E-2"/>
    <n v="67.489166666666662"/>
    <n v="2.3366666666666664"/>
    <n v="22.98"/>
    <n v="7.1933333333333325"/>
    <n v="0"/>
    <n v="100"/>
    <n v="3.5399999999999996"/>
    <n v="17.036666666666665"/>
    <n v="1.8375000000000001"/>
    <n v="93.967499999999987"/>
    <n v="4.1950000000000003"/>
    <n v="78.966666666666669"/>
    <n v="32.350833333333334"/>
    <n v="14.435"/>
    <n v="2.0241666666666664"/>
    <n v="8.9316666666666666"/>
    <n v="17.16"/>
    <n v="19.649166666666666"/>
    <n v="5.4516666666666671"/>
    <n v="0.45583333333333337"/>
    <n v="3.4916666666666667"/>
    <n v="9.7741666666666678"/>
    <n v="36.883333333333333"/>
    <n v="49.831666666666671"/>
    <n v="0.02"/>
    <n v="86.002499999999998"/>
    <n v="13.9975"/>
    <n v="14.963333333333333"/>
    <n v="19.519166666666667"/>
    <n v="37.595833333333331"/>
    <n v="27.900000000000002"/>
    <n v="2.5833333333333333E-2"/>
    <n v="40.11"/>
    <n v="2.9024999999999999"/>
    <n v="47.926666666666669"/>
    <n v="9.0625"/>
    <n v="0"/>
    <n v="100"/>
    <n v="3.6283333333333334"/>
    <n v="13.613333333333335"/>
    <n v="0.76166666666666671"/>
    <n v="96.30916666666667"/>
    <n v="2.9283333333333332"/>
    <n v="82.394999999999996"/>
    <n v="43.295833333333327"/>
    <n v="16.891666666666666"/>
    <n v="0.90750000000000008"/>
    <n v="6.2591666666666663"/>
    <n v="7.5991666666666662"/>
    <n v="23.650000000000002"/>
    <n v="1.3941666666666668"/>
    <n v="0.36333333333333329"/>
    <n v="43.473333333333336"/>
    <n v="3.9433333333333334"/>
    <n v="14.0375"/>
    <n v="6.5941666666666663"/>
    <n v="65.288333333333341"/>
    <n v="6.5316666666666663"/>
    <n v="12.772500000000001"/>
    <n v="28.388333333333335"/>
    <n v="57.81583333333333"/>
    <n v="61.041666666666664"/>
    <n v="75.922499999999999"/>
    <n v="47.674166666666672"/>
    <n v="4.6266666666666669"/>
    <n v="4.6983333333333333"/>
    <n v="4.5266666666666664"/>
    <n v="9.2774999999999999"/>
    <n v="7.3533333333333326"/>
    <n v="12.032499999999999"/>
    <n v="7.84"/>
    <n v="8.163333333333334"/>
    <n v="7.376666666666666"/>
    <n v="70.33"/>
    <n v="69.020833333333329"/>
    <n v="72.196666666666673"/>
    <n v="6.6558333333333337"/>
    <n v="7.0425000000000004"/>
    <n v="6.100833333333334"/>
    <n v="10.566666666666666"/>
    <n v="11.0375"/>
    <n v="9.8883333333333336"/>
    <n v="25.736666666666665"/>
    <n v="27.608333333333334"/>
    <n v="23.061666666666667"/>
    <n v="45.840833333333336"/>
    <n v="44.168333333333329"/>
    <n v="48.226666666666667"/>
    <m/>
    <m/>
    <m/>
    <m/>
    <m/>
    <m/>
    <m/>
    <m/>
    <m/>
    <m/>
    <m/>
    <m/>
    <m/>
    <m/>
    <m/>
    <m/>
    <m/>
    <m/>
    <m/>
    <m/>
    <m/>
    <m/>
    <m/>
    <m/>
    <m/>
    <m/>
    <m/>
    <n v="96.002499999999998"/>
    <n v="97.300833333333344"/>
    <n v="95.396666666666661"/>
    <n v="96.269166666666663"/>
    <n v="95.591666666666654"/>
    <n v="95.973333333333343"/>
    <n v="96.959166666666661"/>
    <n v="96.858333333333334"/>
    <n v="95.038333333333341"/>
    <n v="95.507500000000007"/>
    <n v="95.997500000000002"/>
    <n v="97.93"/>
    <n v="96.865833333333327"/>
    <n v="96.314166666666665"/>
    <n v="94.820833333333326"/>
    <n v="97.302499999999995"/>
    <n v="97.384166666666658"/>
    <n v="95.995000000000005"/>
    <n v="95.769166666666663"/>
    <n v="98.027499999999989"/>
    <n v="97.029166666666654"/>
    <n v="95.526666666666657"/>
    <n v="96.804166666666674"/>
    <n v="97.463333333333324"/>
    <n v="96.258333333333326"/>
    <n v="94.983333333333334"/>
    <n v="92.404166666666654"/>
    <n v="95.307500000000005"/>
    <n v="95.982500000000002"/>
    <n v="96.489166666666677"/>
    <n v="98.02"/>
    <n v="97.135833333333338"/>
  </r>
  <r>
    <x v="12"/>
    <x v="12"/>
    <x v="12"/>
    <x v="12"/>
    <x v="12"/>
    <n v="11.429166666666667"/>
    <n v="18.07"/>
    <n v="34.204166666666666"/>
    <n v="36.21"/>
    <n v="8.5833333333333331E-2"/>
    <n v="68.705833333333331"/>
    <n v="4.5758333333333328"/>
    <n v="22.056666666666668"/>
    <n v="4.6633333333333331"/>
    <n v="0"/>
    <n v="100"/>
    <n v="12.810833333333333"/>
    <n v="25.688333333333333"/>
    <n v="3.0208333333333335"/>
    <n v="65.222499999999997"/>
    <n v="31.76"/>
    <n v="60.903333333333336"/>
    <n v="30.243333333333336"/>
    <n v="12.305"/>
    <n v="8.3916666666666675"/>
    <n v="11.535833333333334"/>
    <n v="13.423333333333334"/>
    <n v="17.119166666666668"/>
    <n v="6.98"/>
    <n v="0.59666666666666668"/>
    <n v="4.9991666666666665"/>
    <n v="12.907499999999999"/>
    <n v="34.890833333333333"/>
    <n v="47.142500000000005"/>
    <n v="5.9166666666666666E-2"/>
    <n v="90.274999999999991"/>
    <n v="9.7249999999999996"/>
    <n v="15.574166666666665"/>
    <n v="22.310833333333335"/>
    <n v="34.24"/>
    <n v="27.765833333333333"/>
    <n v="0.10833333333333334"/>
    <n v="47.935000000000002"/>
    <n v="4.8600000000000003"/>
    <n v="41.288333333333334"/>
    <n v="5.9216666666666669"/>
    <n v="0"/>
    <n v="100"/>
    <n v="17.814166666666669"/>
    <n v="24.935833333333335"/>
    <n v="0.88583333333333336"/>
    <n v="48.380833333333335"/>
    <n v="50.732499999999995"/>
    <n v="56.638333333333328"/>
    <n v="35.35"/>
    <n v="13.288333333333334"/>
    <n v="8.3950000000000014"/>
    <n v="9.9958333333333336"/>
    <n v="6.8550000000000004"/>
    <n v="24.279166666666669"/>
    <n v="1.8308333333333333"/>
    <n v="0.61083333333333334"/>
    <n v="59.360833333333339"/>
    <n v="3.42"/>
    <n v="9.1850000000000005"/>
    <n v="6.4308333333333332"/>
    <n v="64.795000000000002"/>
    <n v="6.9758333333333331"/>
    <n v="13.733333333333334"/>
    <n v="26.805833333333336"/>
    <n v="56.76"/>
    <n v="77.533333333333331"/>
    <n v="22.466666666666669"/>
    <n v="96.7"/>
    <n v="3.3000000000000003"/>
    <n v="12.449166666666665"/>
    <n v="19.156666666666666"/>
    <n v="33.993333333333332"/>
    <n v="34.318333333333335"/>
    <n v="8.3333333333333329E-2"/>
    <n v="68.841666666666669"/>
    <n v="5.8658333333333337"/>
    <n v="21.997500000000002"/>
    <n v="3.2925"/>
    <n v="0"/>
    <n v="100"/>
    <n v="18.396666666666668"/>
    <n v="30.762499999999999"/>
    <n v="3.53"/>
    <n v="55.1"/>
    <n v="41.371666666666663"/>
    <n v="50.189166666666665"/>
    <n v="28.864999999999998"/>
    <n v="10.056666666666667"/>
    <n v="14.423333333333334"/>
    <n v="13.770833333333334"/>
    <n v="9.4858333333333338"/>
    <n v="14.891666666666666"/>
    <n v="8.5083333333333329"/>
    <n v="0.65083333333333337"/>
    <n v="6.3908333333333331"/>
    <n v="15.006666666666668"/>
    <n v="35.37166666666667"/>
    <n v="43.1325"/>
    <n v="9.5000000000000015E-2"/>
    <n v="92.654999999999987"/>
    <n v="7.3449999999999998"/>
    <n v="16.411666666666665"/>
    <n v="23.375"/>
    <n v="33.155000000000001"/>
    <n v="26.970833333333331"/>
    <n v="8.9166666666666672E-2"/>
    <n v="51.629166666666663"/>
    <n v="5.7358333333333329"/>
    <n v="38.03"/>
    <n v="4.605833333333333"/>
    <n v="0"/>
    <n v="100"/>
    <n v="24.316666666666666"/>
    <n v="29.704166666666666"/>
    <n v="0.99333333333333329"/>
    <n v="36.614166666666669"/>
    <n v="62.389999999999993"/>
    <n v="45.366666666666667"/>
    <n v="28.51"/>
    <n v="9.9674999999999994"/>
    <n v="14.780833333333334"/>
    <n v="13.129166666666668"/>
    <n v="5.8158333333333339"/>
    <n v="25.53916666666667"/>
    <n v="2.2558333333333334"/>
    <n v="0.6133333333333334"/>
    <n v="77.533333333333331"/>
    <n v="3.3000000000000003"/>
    <n v="6.6774999999999993"/>
    <n v="6.7716666666666674"/>
    <n v="63.843333333333334"/>
    <n v="7.6208333333333336"/>
    <n v="14.57"/>
    <n v="26.28833333333333"/>
    <n v="56.509166666666665"/>
    <n v="43.047500000000007"/>
    <n v="56.952499999999993"/>
    <n v="96.391666666666666"/>
    <n v="3.6083333333333329"/>
    <n v="9.7750000000000004"/>
    <n v="16.309999999999999"/>
    <n v="34.544999999999995"/>
    <n v="39.274999999999999"/>
    <n v="9.1666666666666674E-2"/>
    <n v="68.485833333333332"/>
    <n v="2.48"/>
    <n v="22.151666666666667"/>
    <n v="6.8825000000000003"/>
    <n v="0"/>
    <n v="100"/>
    <n v="3.75"/>
    <n v="17.463333333333335"/>
    <n v="1.5599999999999998"/>
    <n v="94.142499999999998"/>
    <n v="4.2983333333333329"/>
    <n v="78.278333333333336"/>
    <n v="31.679166666666664"/>
    <n v="14.6425"/>
    <n v="2.1175000000000002"/>
    <n v="9.2099999999999991"/>
    <n v="17.520833333333332"/>
    <n v="19.436666666666667"/>
    <n v="5.3924999999999992"/>
    <n v="0.5083333333333333"/>
    <n v="2.9633333333333334"/>
    <n v="9.7958333333333325"/>
    <n v="34.25"/>
    <n v="52.985833333333339"/>
    <n v="4.1666666666666666E-3"/>
    <n v="86.762500000000003"/>
    <n v="13.237499999999999"/>
    <n v="13.856666666666667"/>
    <n v="20.099999999999998"/>
    <n v="36.475000000000001"/>
    <n v="29.418333333333333"/>
    <n v="0.14749999999999999"/>
    <n v="40.255833333333335"/>
    <n v="3.0500000000000003"/>
    <n v="48.03"/>
    <n v="8.6641666666666666"/>
    <n v="0"/>
    <n v="100"/>
    <n v="4.3224999999999998"/>
    <n v="15.020000000000001"/>
    <n v="0.43916666666666671"/>
    <n v="96.694999999999993"/>
    <n v="2.8683333333333336"/>
    <n v="80.05"/>
    <n v="43.405000000000001"/>
    <n v="17.197500000000002"/>
    <n v="0.90666666666666673"/>
    <n v="6.2683333333333335"/>
    <n v="8.0533333333333328"/>
    <n v="22.840833333333336"/>
    <n v="1.3266666666666667"/>
    <n v="0.60750000000000004"/>
    <n v="43.047500000000007"/>
    <n v="3.6083333333333329"/>
    <n v="13.239166666666668"/>
    <n v="5.8825000000000003"/>
    <n v="66.340833333333336"/>
    <n v="5.9325000000000001"/>
    <n v="12.38"/>
    <n v="27.642499999999998"/>
    <n v="57.16"/>
    <n v="60.670833333333327"/>
    <n v="75.837499999999991"/>
    <n v="47.314999999999998"/>
    <n v="3.9908333333333332"/>
    <n v="3.9449999999999998"/>
    <n v="4.0508333333333333"/>
    <n v="8.4600000000000009"/>
    <n v="6.4866666666666672"/>
    <n v="11.244999999999999"/>
    <n v="6.7349999999999994"/>
    <n v="6.9591666666666674"/>
    <n v="6.418333333333333"/>
    <n v="70.619166666666672"/>
    <n v="68.906666666666666"/>
    <n v="73.036666666666676"/>
    <n v="6.1191666666666658"/>
    <n v="6.5891666666666664"/>
    <n v="5.4516666666666671"/>
    <n v="10.711666666666666"/>
    <n v="11.455833333333333"/>
    <n v="9.6591666666666658"/>
    <n v="25.655833333333334"/>
    <n v="27.763333333333332"/>
    <n v="22.677499999999998"/>
    <n v="45.435833333333335"/>
    <n v="43.852499999999999"/>
    <n v="47.668333333333329"/>
    <n v="60.675555555555562"/>
    <n v="75.794444444444437"/>
    <n v="47.374444444444443"/>
    <n v="4.0744444444444445"/>
    <n v="4.04"/>
    <n v="4.1233333333333331"/>
    <n v="8.6388888888888893"/>
    <n v="6.652222222222222"/>
    <n v="11.43"/>
    <n v="6.8088888888888892"/>
    <n v="6.9955555555555557"/>
    <n v="6.543333333333333"/>
    <n v="70.798888888888897"/>
    <n v="69.192222222222227"/>
    <n v="73.06"/>
    <n v="6.1433333333333335"/>
    <n v="6.5500000000000007"/>
    <n v="5.5666666666666664"/>
    <n v="10.703333333333333"/>
    <n v="11.441111111111111"/>
    <n v="9.6688888888888886"/>
    <n v="25.508888888888887"/>
    <n v="27.513333333333335"/>
    <n v="22.682222222222222"/>
    <n v="45.172222222222224"/>
    <n v="43.463333333333338"/>
    <n v="47.571111111111108"/>
    <n v="96.427500000000009"/>
    <n v="97.160000000000011"/>
    <n v="95.8"/>
    <n v="96.255833333333328"/>
    <n v="95.622500000000002"/>
    <n v="96.361666666666665"/>
    <n v="97.37833333333333"/>
    <n v="97.285000000000011"/>
    <n v="95.413333333333341"/>
    <n v="96.168333333333337"/>
    <n v="96.533333333333346"/>
    <n v="98.352500000000006"/>
    <n v="97.039166666666674"/>
    <n v="97.340833333333322"/>
    <n v="95.978333333333339"/>
    <n v="97.369166666666672"/>
    <n v="97.95"/>
    <n v="96.548333333333332"/>
    <n v="96.244166666666672"/>
    <n v="97.811666666666667"/>
    <n v="97.254166666666663"/>
    <n v="95.639166666666668"/>
    <n v="96.799166666666665"/>
    <n v="97.61333333333333"/>
    <n v="96.410000000000011"/>
    <n v="96.212499999999991"/>
    <n v="92.959166666666661"/>
    <n v="95.797499999999999"/>
    <n v="96.308333333333337"/>
    <n v="96.535000000000011"/>
    <n v="97.928333333333327"/>
    <n v="97.227500000000006"/>
  </r>
  <r>
    <x v="13"/>
    <x v="13"/>
    <x v="13"/>
    <x v="13"/>
    <x v="13"/>
    <n v="10.580833333333333"/>
    <n v="17.432500000000001"/>
    <n v="34.213333333333331"/>
    <n v="37.684166666666663"/>
    <n v="9.1666666666666674E-2"/>
    <n v="68.478333333333339"/>
    <n v="4.7758333333333338"/>
    <n v="22.268333333333334"/>
    <n v="4.4766666666666666"/>
    <n v="0"/>
    <n v="100"/>
    <n v="12.529166666666667"/>
    <n v="25.71083333333333"/>
    <n v="2.9416666666666664"/>
    <n v="65.305833333333339"/>
    <n v="31.752499999999998"/>
    <n v="61.173333333333339"/>
    <n v="30.518333333333334"/>
    <n v="12.304166666666667"/>
    <n v="8.59"/>
    <n v="11.793333333333335"/>
    <n v="13.255000000000001"/>
    <n v="16.658333333333335"/>
    <n v="6.8791666666666664"/>
    <n v="0.58666666666666667"/>
    <n v="4.4524999999999997"/>
    <n v="11.9625"/>
    <n v="35.243333333333332"/>
    <n v="48.302500000000002"/>
    <n v="3.9166666666666662E-2"/>
    <n v="90.220000000000013"/>
    <n v="9.7799999999999994"/>
    <n v="14.273333333333333"/>
    <n v="21.120833333333334"/>
    <n v="35.162500000000001"/>
    <n v="29.384166666666669"/>
    <n v="5.8333333333333327E-2"/>
    <n v="47.26583333333334"/>
    <n v="5.03"/>
    <n v="41.85"/>
    <n v="5.8550000000000004"/>
    <n v="0"/>
    <n v="100"/>
    <n v="17.552499999999998"/>
    <n v="24.655000000000001"/>
    <n v="0.99833333333333341"/>
    <n v="51.334166666666668"/>
    <n v="47.668333333333329"/>
    <n v="57.269166666666671"/>
    <n v="35.219166666666666"/>
    <n v="13.924999999999999"/>
    <n v="8.8033333333333328"/>
    <n v="10.485833333333334"/>
    <n v="6.4450000000000003"/>
    <n v="23.550833333333333"/>
    <n v="1.5758333333333334"/>
    <n v="0.52583333333333326"/>
    <n v="59.604166666666664"/>
    <n v="3.3200000000000003"/>
    <n v="9.0316666666666663"/>
    <n v="6.4233333333333329"/>
    <n v="64.62166666666667"/>
    <n v="6.8624999999999998"/>
    <n v="15.43"/>
    <n v="27.316666666666666"/>
    <n v="56.51583333333334"/>
    <n v="77.395833333333329"/>
    <n v="22.604166666666668"/>
    <n v="96.758333333333326"/>
    <n v="3.2416666666666667"/>
    <n v="11.473333333333334"/>
    <n v="18.438333333333333"/>
    <n v="34.384166666666665"/>
    <n v="35.609166666666667"/>
    <n v="9.1666666666666674E-2"/>
    <n v="68.648333333333326"/>
    <n v="6.1524999999999999"/>
    <n v="22.10083333333333"/>
    <n v="3.0991666666666666"/>
    <n v="0"/>
    <n v="100"/>
    <n v="18.098333333333333"/>
    <n v="30.842500000000001"/>
    <n v="3.4058333333333333"/>
    <n v="55.294166666666662"/>
    <n v="41.300833333333337"/>
    <n v="50.402500000000003"/>
    <n v="29.204166666666666"/>
    <n v="9.8066666666666666"/>
    <n v="14.768333333333333"/>
    <n v="13.890833333333333"/>
    <n v="9.4249999999999989"/>
    <n v="14.591666666666667"/>
    <n v="8.3133333333333326"/>
    <n v="0.65583333333333338"/>
    <n v="5.3491666666666662"/>
    <n v="13.261666666666665"/>
    <n v="36.225833333333334"/>
    <n v="45.119166666666672"/>
    <n v="4.3333333333333335E-2"/>
    <n v="92.030833333333348"/>
    <n v="7.9691666666666663"/>
    <n v="15.013333333333334"/>
    <n v="22.349999999999998"/>
    <n v="34.971666666666664"/>
    <n v="27.599166666666665"/>
    <n v="6.9166666666666668E-2"/>
    <n v="51.534166666666664"/>
    <n v="5.9066666666666663"/>
    <n v="38.335833333333333"/>
    <n v="4.2275"/>
    <n v="0"/>
    <n v="100"/>
    <n v="24.498333333333335"/>
    <n v="29.540833333333335"/>
    <n v="1.1691666666666667"/>
    <n v="39.7575"/>
    <n v="59.071666666666665"/>
    <n v="45.449999999999996"/>
    <n v="29.382500000000004"/>
    <n v="9.8641666666666676"/>
    <n v="15.665833333333333"/>
    <n v="13.856666666666667"/>
    <n v="5.03"/>
    <n v="24.405833333333334"/>
    <n v="1.7949999999999999"/>
    <n v="0.51"/>
    <n v="77.395833333333329"/>
    <n v="3.2416666666666667"/>
    <n v="6.56"/>
    <n v="6.6883333333333335"/>
    <n v="63.719166666666666"/>
    <n v="7.4125000000000005"/>
    <n v="16.428333333333331"/>
    <n v="26.656666666666666"/>
    <n v="56.155000000000001"/>
    <n v="43.525833333333338"/>
    <n v="56.474166666666662"/>
    <n v="96.553333333333342"/>
    <n v="3.4466666666666668"/>
    <n v="9.1391666666666662"/>
    <n v="15.808333333333332"/>
    <n v="33.939166666666665"/>
    <n v="41.023333333333333"/>
    <n v="9.0833333333333335E-2"/>
    <n v="68.205833333333331"/>
    <n v="2.561666666666667"/>
    <n v="22.535833333333333"/>
    <n v="6.6950000000000003"/>
    <n v="0"/>
    <n v="100"/>
    <n v="3.5533333333333332"/>
    <n v="17.45"/>
    <n v="1.6191666666666666"/>
    <n v="93.817499999999995"/>
    <n v="4.5633333333333335"/>
    <n v="78.519166666666663"/>
    <n v="31.880833333333332"/>
    <n v="14.885"/>
    <n v="2.2025000000000001"/>
    <n v="9.625"/>
    <n v="17.215833333333332"/>
    <n v="18.7925"/>
    <n v="5.3975"/>
    <n v="0.47833333333333333"/>
    <n v="3.0741666666666667"/>
    <n v="10.0175"/>
    <n v="33.782499999999999"/>
    <n v="53.09"/>
    <n v="3.1666666666666669E-2"/>
    <n v="87.473333333333343"/>
    <n v="12.526666666666666"/>
    <n v="12.784166666666666"/>
    <n v="18.651666666666667"/>
    <n v="35.542499999999997"/>
    <n v="32.979999999999997"/>
    <n v="3.9166666666666662E-2"/>
    <n v="38.744166666666665"/>
    <n v="3.2841666666666671"/>
    <n v="48.847499999999997"/>
    <n v="9.1241666666666656"/>
    <n v="0"/>
    <n v="100"/>
    <n v="3.6308333333333334"/>
    <n v="14.8925"/>
    <n v="0.33416666666666667"/>
    <n v="97.263333333333335"/>
    <n v="2.4033333333333333"/>
    <n v="80.926666666666662"/>
    <n v="41.699166666666663"/>
    <n v="18.479166666666668"/>
    <n v="1.1016666666666666"/>
    <n v="6.7124999999999995"/>
    <n v="8.038333333333334"/>
    <n v="22.644166666666667"/>
    <n v="1.3258333333333334"/>
    <n v="0.54916666666666669"/>
    <n v="43.525833333333338"/>
    <n v="3.4466666666666668"/>
    <n v="13.004166666666668"/>
    <n v="5.9991666666666665"/>
    <n v="66.081666666666663"/>
    <n v="5.980833333333333"/>
    <n v="13.825000000000001"/>
    <n v="28.378333333333334"/>
    <n v="57.096666666666664"/>
    <n v="61.085000000000001"/>
    <n v="75.519166666666663"/>
    <n v="48.135833333333331"/>
    <n v="3.9508333333333332"/>
    <n v="3.980833333333333"/>
    <n v="3.91"/>
    <n v="8.2891666666666666"/>
    <n v="6.3416666666666659"/>
    <n v="11.032499999999999"/>
    <n v="6.7525000000000004"/>
    <n v="6.956666666666667"/>
    <n v="6.4658333333333333"/>
    <n v="69.950833333333335"/>
    <n v="68.375833333333333"/>
    <n v="72.180000000000007"/>
    <n v="6.0708333333333329"/>
    <n v="6.3683333333333332"/>
    <n v="5.6483333333333334"/>
    <n v="12.535000000000002"/>
    <n v="13.467500000000001"/>
    <n v="11.215833333333334"/>
    <n v="26.503333333333334"/>
    <n v="28.35083333333333"/>
    <n v="23.892499999999998"/>
    <n v="46.149166666666666"/>
    <n v="44.239166666666669"/>
    <n v="48.82833333333334"/>
    <n v="61.115000000000002"/>
    <n v="75.551666666666662"/>
    <n v="48.159166666666664"/>
    <n v="3.9666666666666668"/>
    <n v="3.9924999999999997"/>
    <n v="3.9316666666666666"/>
    <n v="8.3533333333333335"/>
    <n v="6.3891666666666671"/>
    <n v="11.118333333333334"/>
    <n v="6.835"/>
    <n v="7.0441666666666665"/>
    <n v="6.5375000000000005"/>
    <n v="70.040000000000006"/>
    <n v="68.500833333333333"/>
    <n v="72.217500000000001"/>
    <n v="6.142500000000001"/>
    <n v="6.4541666666666666"/>
    <n v="5.706666666666667"/>
    <n v="12.523333333333333"/>
    <n v="13.452500000000001"/>
    <n v="11.215833333333334"/>
    <n v="26.433333333333334"/>
    <n v="28.229166666666668"/>
    <n v="23.891666666666666"/>
    <n v="46.03"/>
    <n v="44.073333333333331"/>
    <n v="48.778333333333336"/>
    <n v="96.390833333333333"/>
    <n v="97.46916666666668"/>
    <n v="96.265000000000001"/>
    <n v="96.766666666666666"/>
    <n v="95.84333333333332"/>
    <n v="96.778333333333322"/>
    <n v="97.216666666666654"/>
    <n v="96.866666666666674"/>
    <n v="95.369166666666672"/>
    <n v="95.601666666666674"/>
    <n v="96.485833333333332"/>
    <n v="98.763333333333335"/>
    <n v="97.277499999999989"/>
    <n v="97.352500000000006"/>
    <n v="95.90666666666668"/>
    <n v="97.755833333333328"/>
    <n v="97.879166666666663"/>
    <n v="95.99666666666667"/>
    <n v="96.467499999999987"/>
    <n v="98.411666666666676"/>
    <n v="97.40583333333332"/>
    <n v="96.245833333333337"/>
    <n v="97.250833333333333"/>
    <n v="97.471666666666678"/>
    <n v="96.694166666666661"/>
    <n v="96.254999999999995"/>
    <n v="92.719999999999985"/>
    <n v="96.085833333333326"/>
    <n v="96.349166666666676"/>
    <n v="96.98"/>
    <n v="98.208333333333329"/>
    <n v="97.035000000000011"/>
  </r>
  <r>
    <x v="14"/>
    <x v="14"/>
    <x v="14"/>
    <x v="14"/>
    <x v="14"/>
    <n v="10.305"/>
    <n v="16.831666666666667"/>
    <n v="34.313333333333333"/>
    <n v="38.464999999999996"/>
    <n v="8.5000000000000006E-2"/>
    <n v="68.174999999999997"/>
    <n v="4.8033333333333337"/>
    <n v="22.478333333333335"/>
    <n v="4.5441666666666665"/>
    <n v="0"/>
    <n v="100"/>
    <n v="12.185"/>
    <n v="25.209999999999997"/>
    <n v="2.8166666666666664"/>
    <n v="66.33"/>
    <n v="30.853333333333335"/>
    <n v="62.034999999999997"/>
    <n v="31.208333333333332"/>
    <n v="12.862499999999999"/>
    <n v="8.2833333333333332"/>
    <n v="11.475"/>
    <n v="12.624166666666667"/>
    <n v="16.644166666666667"/>
    <n v="6.9041666666666659"/>
    <n v="0.56833333333333336"/>
    <n v="4.6749999999999998"/>
    <n v="11.240833333333335"/>
    <n v="35.65"/>
    <n v="48.389166666666661"/>
    <n v="4.5000000000000005E-2"/>
    <n v="90.019166666666663"/>
    <n v="9.980833333333333"/>
    <n v="14.839999999999998"/>
    <n v="20.393333333333334"/>
    <n v="34.505000000000003"/>
    <n v="30.21166666666667"/>
    <n v="5.0833333333333335E-2"/>
    <n v="46.73416666666666"/>
    <n v="5.4200000000000008"/>
    <n v="42.199999999999996"/>
    <n v="5.645833333333333"/>
    <n v="0"/>
    <n v="100"/>
    <n v="16.099166666666665"/>
    <n v="23.970833333333331"/>
    <n v="1.0675000000000001"/>
    <n v="53.074166666666663"/>
    <n v="45.85916666666666"/>
    <n v="59.287500000000001"/>
    <n v="36.81666666666667"/>
    <n v="13.6075"/>
    <n v="7.9233333333333329"/>
    <n v="9.9674999999999994"/>
    <n v="6.2783333333333333"/>
    <n v="23.594999999999999"/>
    <n v="1.8158333333333332"/>
    <n v="0.64333333333333331"/>
    <n v="60.129999999999995"/>
    <n v="3.4908333333333332"/>
    <n v="9.4308333333333341"/>
    <n v="6.8391666666666664"/>
    <n v="64.509166666666673"/>
    <n v="7.3933333333333335"/>
    <n v="18.781666666666666"/>
    <n v="27.551666666666666"/>
    <n v="56.320833333333333"/>
    <n v="77.162500000000009"/>
    <n v="22.837500000000002"/>
    <n v="96.55083333333333"/>
    <n v="3.4491666666666667"/>
    <n v="11.097499999999998"/>
    <n v="17.668333333333333"/>
    <n v="34.583333333333336"/>
    <n v="36.5625"/>
    <n v="8.9166666666666672E-2"/>
    <n v="68.694166666666675"/>
    <n v="6.229166666666667"/>
    <n v="21.9025"/>
    <n v="3.1758333333333333"/>
    <n v="0"/>
    <n v="100"/>
    <n v="17.706666666666667"/>
    <n v="30.548333333333332"/>
    <n v="3.1999999999999997"/>
    <n v="56.526666666666664"/>
    <n v="40.270833333333336"/>
    <n v="51.120000000000005"/>
    <n v="29.705833333333334"/>
    <n v="10.526666666666667"/>
    <n v="14.494999999999999"/>
    <n v="13.604166666666666"/>
    <n v="8.8483333333333345"/>
    <n v="14.564166666666667"/>
    <n v="8.2575000000000003"/>
    <n v="0.6216666666666667"/>
    <n v="5.7408333333333337"/>
    <n v="13.055"/>
    <n v="36.675000000000004"/>
    <n v="44.467500000000001"/>
    <n v="5.8333333333333327E-2"/>
    <n v="92.574166666666656"/>
    <n v="7.4258333333333333"/>
    <n v="15.6875"/>
    <n v="20.975833333333334"/>
    <n v="34.059166666666663"/>
    <n v="29.201666666666668"/>
    <n v="7.2499999999999995E-2"/>
    <n v="51.101666666666667"/>
    <n v="6.6791666666666671"/>
    <n v="37.690000000000005"/>
    <n v="4.5258333333333329"/>
    <n v="0"/>
    <n v="100"/>
    <n v="23.320000000000004"/>
    <n v="29.71083333333333"/>
    <n v="1.0708333333333333"/>
    <n v="42.43333333333333"/>
    <n v="56.498333333333335"/>
    <n v="46.245833333333337"/>
    <n v="30.125833333333333"/>
    <n v="9.8616666666666664"/>
    <n v="14.740833333333333"/>
    <n v="13.293333333333335"/>
    <n v="5.2133333333333338"/>
    <n v="24.635000000000002"/>
    <n v="2.1266666666666665"/>
    <n v="0.72083333333333333"/>
    <n v="77.162500000000009"/>
    <n v="3.4491666666666667"/>
    <n v="6.8508333333333331"/>
    <n v="7.1875"/>
    <n v="63.958333333333336"/>
    <n v="7.8075000000000001"/>
    <n v="19.956666666666667"/>
    <n v="26.569166666666664"/>
    <n v="55.583333333333336"/>
    <n v="44.779166666666669"/>
    <n v="55.220833333333331"/>
    <n v="96.444999999999993"/>
    <n v="3.5549999999999997"/>
    <n v="9.0733333333333324"/>
    <n v="15.531666666666666"/>
    <n v="33.897500000000001"/>
    <n v="41.422499999999999"/>
    <n v="7.4999999999999997E-2"/>
    <n v="67.364999999999995"/>
    <n v="2.5874999999999999"/>
    <n v="23.370833333333334"/>
    <n v="6.6741666666666672"/>
    <n v="0"/>
    <n v="100"/>
    <n v="3.5950000000000002"/>
    <n v="16.914999999999999"/>
    <n v="1.7350000000000001"/>
    <n v="93.862499999999997"/>
    <n v="4.4016666666666664"/>
    <n v="79.005833333333342"/>
    <n v="32.717500000000001"/>
    <n v="15.21"/>
    <n v="2.0383333333333336"/>
    <n v="9.3333333333333339"/>
    <n v="16.425833333333333"/>
    <n v="18.730833333333333"/>
    <n v="5.5458333333333334"/>
    <n v="0.48666666666666664"/>
    <n v="3.0458333333333329"/>
    <n v="8.52"/>
    <n v="34.085000000000001"/>
    <n v="54.323333333333331"/>
    <n v="2.5833333333333333E-2"/>
    <n v="86.095833333333346"/>
    <n v="13.904166666666667"/>
    <n v="13.29"/>
    <n v="19.327500000000001"/>
    <n v="35.341666666666669"/>
    <n v="32.03"/>
    <n v="9.1666666666666667E-3"/>
    <n v="38.887499999999996"/>
    <n v="3.14"/>
    <n v="50.313333333333333"/>
    <n v="7.6566666666666663"/>
    <n v="0"/>
    <n v="100"/>
    <n v="3.0783333333333331"/>
    <n v="13.635833333333332"/>
    <n v="1.0650000000000002"/>
    <n v="94.819166666666661"/>
    <n v="4.1149999999999993"/>
    <n v="82.785000000000011"/>
    <n v="43.567499999999995"/>
    <n v="17.355"/>
    <n v="1.02"/>
    <n v="6.6224999999999996"/>
    <n v="7.375"/>
    <n v="22.551666666666666"/>
    <n v="1.5083333333333335"/>
    <n v="0.50166666666666659"/>
    <n v="44.779166666666669"/>
    <n v="3.5549999999999997"/>
    <n v="13.432499999999999"/>
    <n v="6.3"/>
    <n v="65.365833333333327"/>
    <n v="6.7441666666666675"/>
    <n v="16.950833333333332"/>
    <n v="29.078333333333333"/>
    <n v="57.465000000000003"/>
    <n v="61.198333333333331"/>
    <n v="75.125"/>
    <n v="48.664999999999999"/>
    <n v="4.1316666666666668"/>
    <n v="4.208333333333333"/>
    <n v="4.0274999999999999"/>
    <n v="8.9224999999999994"/>
    <n v="6.8291666666666666"/>
    <n v="11.833333333333334"/>
    <n v="7.0350000000000001"/>
    <n v="7.3033333333333337"/>
    <n v="6.668333333333333"/>
    <n v="69.745000000000005"/>
    <n v="68.515833333333333"/>
    <n v="71.453333333333333"/>
    <n v="6.3649999999999993"/>
    <n v="6.5874999999999995"/>
    <n v="6.0558333333333332"/>
    <n v="15.401666666666666"/>
    <n v="16.510833333333334"/>
    <n v="13.859166666666667"/>
    <n v="26.793333333333333"/>
    <n v="28.279166666666669"/>
    <n v="24.728333333333335"/>
    <n v="46.058333333333337"/>
    <n v="43.983333333333327"/>
    <n v="48.933333333333337"/>
    <n v="61.395833333333336"/>
    <n v="75.307500000000005"/>
    <n v="48.846666666666664"/>
    <n v="4.0708333333333337"/>
    <n v="4.1275000000000004"/>
    <n v="3.9908333333333332"/>
    <n v="8.9241666666666664"/>
    <n v="6.7966666666666669"/>
    <n v="11.885"/>
    <n v="7.1083333333333334"/>
    <n v="7.3708333333333336"/>
    <n v="6.7491666666666665"/>
    <n v="70.117499999999993"/>
    <n v="68.985833333333332"/>
    <n v="71.6875"/>
    <n v="6.4383333333333335"/>
    <n v="6.6774999999999993"/>
    <n v="6.104166666666667"/>
    <n v="15.839166666666666"/>
    <n v="16.966666666666665"/>
    <n v="14.275"/>
    <n v="26.310000000000002"/>
    <n v="27.685833333333335"/>
    <n v="24.395"/>
    <n v="45.393333333333338"/>
    <n v="43.326666666666675"/>
    <n v="48.261666666666663"/>
    <n v="96.509999999999991"/>
    <n v="97.481666666666669"/>
    <n v="95.643333333333331"/>
    <n v="96.764166666666668"/>
    <n v="95.358333333333334"/>
    <n v="96.384166666666658"/>
    <n v="96.858333333333334"/>
    <n v="96.933333333333337"/>
    <n v="94.991666666666674"/>
    <n v="95.958333333333329"/>
    <n v="96.252499999999998"/>
    <n v="98.435833333333335"/>
    <n v="97.541666666666671"/>
    <n v="97.019166666666663"/>
    <n v="95.619166666666672"/>
    <n v="97.242500000000007"/>
    <n v="97.638333333333335"/>
    <n v="96.032499999999985"/>
    <n v="96.420833333333334"/>
    <n v="98.197499999999991"/>
    <n v="97.38666666666667"/>
    <n v="95.704166666666666"/>
    <n v="96.92"/>
    <n v="97.325000000000003"/>
    <n v="96.773333333333326"/>
    <n v="95.62833333333333"/>
    <n v="93.031666666666652"/>
    <n v="96.605000000000004"/>
    <n v="96.105833333333337"/>
    <n v="97.075000000000003"/>
    <n v="98.085833333333326"/>
    <n v="96.929166666666674"/>
  </r>
  <r>
    <x v="15"/>
    <x v="15"/>
    <x v="15"/>
    <x v="15"/>
    <x v="15"/>
    <n v="9.8766666666666669"/>
    <n v="16.297500000000003"/>
    <n v="33.932499999999997"/>
    <n v="39.819166666666668"/>
    <n v="7.166666666666667E-2"/>
    <n v="69.541666666666671"/>
    <n v="4.7758333333333338"/>
    <n v="21.64916666666667"/>
    <n v="4.0358333333333336"/>
    <n v="0"/>
    <n v="100"/>
    <n v="12.555"/>
    <n v="24.849166666666665"/>
    <n v="3.3049999999999997"/>
    <n v="66.759166666666673"/>
    <n v="30.549166666666668"/>
    <n v="62.07"/>
    <n v="30.827500000000001"/>
    <n v="11.036666666666667"/>
    <n v="8.480833333333333"/>
    <n v="11.567500000000001"/>
    <n v="12.64"/>
    <n v="16.479166666666668"/>
    <n v="8.8983333333333334"/>
    <n v="0.52500000000000002"/>
    <n v="7.8866666666666667"/>
    <n v="10.476666666666667"/>
    <n v="35.4925"/>
    <n v="46.101666666666667"/>
    <n v="4.4166666666666667E-2"/>
    <n v="94.000833333333333"/>
    <n v="6.0408333333333326"/>
    <n v="11.056666666666667"/>
    <n v="18.844166666666666"/>
    <n v="34.384999999999998"/>
    <n v="35.649166666666666"/>
    <n v="6.4166666666666664E-2"/>
    <n v="51.720833333333331"/>
    <n v="5.8691666666666675"/>
    <n v="37.834166666666668"/>
    <n v="4.5766666666666671"/>
    <n v="0"/>
    <n v="100"/>
    <n v="11.270000000000001"/>
    <n v="22.795000000000002"/>
    <n v="1.0475000000000001"/>
    <n v="56.5075"/>
    <n v="43.449999999999996"/>
    <n v="65.489166666666662"/>
    <n v="32.75"/>
    <n v="14.645833333333334"/>
    <n v="8.6316666666666659"/>
    <n v="9.9716666666666658"/>
    <n v="8.8149999999999995"/>
    <n v="20.984999999999999"/>
    <n v="3.0816666666666666"/>
    <n v="0.44416666666666665"/>
    <n v="55.356666666666662"/>
    <n v="4.4316666666666666"/>
    <n v="11.648333333333333"/>
    <n v="7.8358333333333334"/>
    <n v="66.277500000000003"/>
    <n v="16.337500000000002"/>
    <n v="24.055000000000003"/>
    <n v="26.408333333333331"/>
    <n v="54.423333333333339"/>
    <n v="71.5625"/>
    <n v="28.4375"/>
    <n v="95.414166666666674"/>
    <n v="4.5858333333333334"/>
    <n v="10.842500000000001"/>
    <n v="17.330000000000002"/>
    <n v="34.211666666666666"/>
    <n v="37.535000000000004"/>
    <n v="7.8333333333333338E-2"/>
    <n v="68.968333333333334"/>
    <n v="6.1991666666666667"/>
    <n v="22.000833333333333"/>
    <n v="2.8291666666666671"/>
    <n v="0"/>
    <n v="100"/>
    <n v="17.55"/>
    <n v="30.390833333333333"/>
    <n v="3.105"/>
    <n v="56.096666666666664"/>
    <n v="40.798333333333332"/>
    <n v="51.366666666666667"/>
    <n v="30.070833333333336"/>
    <n v="9.5158333333333331"/>
    <n v="14.094999999999999"/>
    <n v="13.763333333333334"/>
    <n v="9.2108333333333334"/>
    <n v="14.387500000000001"/>
    <n v="8.9591666666666665"/>
    <n v="0.69"/>
    <n v="5.8374999999999995"/>
    <n v="11.858333333333334"/>
    <n v="35.738333333333337"/>
    <n v="46.517500000000005"/>
    <n v="4.5000000000000005E-2"/>
    <n v="93.575000000000003"/>
    <n v="6.4249999999999998"/>
    <n v="12.44"/>
    <n v="20.083333333333332"/>
    <n v="34.190000000000005"/>
    <n v="33.178333333333335"/>
    <n v="0.1075"/>
    <n v="52.820833333333333"/>
    <n v="7.3983333333333334"/>
    <n v="36.527499999999996"/>
    <n v="3.26"/>
    <n v="0"/>
    <n v="100"/>
    <n v="17.202500000000001"/>
    <n v="28.97"/>
    <n v="1.1016666666666666"/>
    <n v="45.06583333333333"/>
    <n v="53.833333333333336"/>
    <n v="52.904166666666669"/>
    <n v="29.002500000000001"/>
    <n v="11.273333333333333"/>
    <n v="15.4825"/>
    <n v="12.111666666666666"/>
    <n v="7.0100000000000007"/>
    <n v="21.775833333333335"/>
    <n v="3.3450000000000002"/>
    <n v="0.92"/>
    <n v="71.5625"/>
    <n v="4.5858333333333334"/>
    <n v="9.2441666666666666"/>
    <n v="8.4041666666666668"/>
    <n v="64.752499999999998"/>
    <n v="16.698333333333334"/>
    <n v="25.27333333333333"/>
    <n v="26.071666666666669"/>
    <n v="54.650833333333331"/>
    <n v="40.74583333333333"/>
    <n v="59.254166666666663"/>
    <n v="95.805833333333339"/>
    <n v="4.1941666666666668"/>
    <n v="8.3666666666666671"/>
    <n v="14.679166666666667"/>
    <n v="33.484166666666667"/>
    <n v="43.412500000000001"/>
    <n v="6.0000000000000005E-2"/>
    <n v="70.418333333333337"/>
    <n v="2.5299999999999998"/>
    <n v="21.119166666666668"/>
    <n v="5.9333333333333336"/>
    <n v="0"/>
    <n v="100"/>
    <n v="3.6925000000000003"/>
    <n v="17.191666666666666"/>
    <n v="1.9550000000000001"/>
    <n v="93.525833333333324"/>
    <n v="4.520833333333333"/>
    <n v="78.72"/>
    <n v="33.30916666666667"/>
    <n v="14.433333333333332"/>
    <n v="2.1016666666666666"/>
    <n v="8.9574999999999996"/>
    <n v="16.977499999999999"/>
    <n v="17.774166666666666"/>
    <n v="6.4424999999999999"/>
    <n v="0.39999999999999997"/>
    <n v="4.3208333333333337"/>
    <n v="7.335"/>
    <n v="32.710833333333333"/>
    <n v="55.573333333333331"/>
    <n v="6.083333333333333E-2"/>
    <n v="87.46"/>
    <n v="12.54"/>
    <n v="10.7525"/>
    <n v="16.818333333333332"/>
    <n v="36.585833333333333"/>
    <n v="35.781666666666666"/>
    <n v="6.1666666666666668E-2"/>
    <n v="42.502499999999998"/>
    <n v="3.7641666666666667"/>
    <n v="45.439166666666665"/>
    <n v="8.293333333333333"/>
    <n v="0"/>
    <n v="100"/>
    <n v="3.0849999999999995"/>
    <n v="13.966666666666667"/>
    <n v="0.83833333333333337"/>
    <n v="95.374166666666667"/>
    <n v="3.7891666666666666"/>
    <n v="82.692499999999995"/>
    <n v="42.024166666666666"/>
    <n v="18.206666666666667"/>
    <n v="1.4266666666666667"/>
    <n v="5.8258333333333328"/>
    <n v="10.7325"/>
    <n v="18.961666666666666"/>
    <n v="2.8216666666666668"/>
    <n v="0.2558333333333333"/>
    <n v="40.74583333333333"/>
    <n v="4.1941666666666668"/>
    <n v="15.461666666666666"/>
    <n v="6.9424999999999999"/>
    <n v="68.651666666666657"/>
    <n v="15.792500000000002"/>
    <n v="22.136666666666667"/>
    <n v="26.954999999999998"/>
    <n v="54.040833333333332"/>
    <n v="54.751666666666665"/>
    <n v="67.611666666666665"/>
    <n v="43.134999999999998"/>
    <n v="5.4941666666666675"/>
    <n v="5.9066666666666663"/>
    <n v="4.9066666666666672"/>
    <n v="11.574166666666665"/>
    <n v="10.160833333333334"/>
    <n v="13.583333333333334"/>
    <n v="8.6375000000000011"/>
    <n v="9.3424999999999994"/>
    <n v="7.6408333333333331"/>
    <n v="72.254999999999995"/>
    <n v="70.712499999999991"/>
    <n v="74.398333333333326"/>
    <n v="16.98"/>
    <n v="17.710833333333333"/>
    <n v="15.971666666666666"/>
    <n v="21.200833333333332"/>
    <n v="22.485833333333332"/>
    <n v="19.398333333333333"/>
    <n v="25.235833333333332"/>
    <n v="27.214166666666667"/>
    <n v="22.476666666666663"/>
    <n v="42.925833333333337"/>
    <n v="41.838333333333331"/>
    <n v="44.444166666666668"/>
    <n v="58.576666666666661"/>
    <n v="72.040833333333339"/>
    <n v="46.400833333333331"/>
    <n v="4.810833333333334"/>
    <n v="5.041666666666667"/>
    <n v="4.4783333333333335"/>
    <n v="10.308333333333334"/>
    <n v="8.3224999999999998"/>
    <n v="13.096666666666666"/>
    <n v="8.1750000000000007"/>
    <n v="8.7524999999999995"/>
    <n v="7.3575000000000008"/>
    <n v="71.408333333333331"/>
    <n v="70.289166666666659"/>
    <n v="72.966666666666669"/>
    <n v="12.494999999999999"/>
    <n v="12.911666666666667"/>
    <n v="11.9125"/>
    <n v="20.349166666666665"/>
    <n v="21.525833333333335"/>
    <n v="18.7"/>
    <n v="25.590833333333332"/>
    <n v="26.97"/>
    <n v="23.66333333333333"/>
    <n v="43.806666666666665"/>
    <n v="42.25"/>
    <n v="45.962499999999999"/>
    <n v="95.899166666666659"/>
    <n v="97.504166666666663"/>
    <n v="95.384999999999991"/>
    <n v="96.75333333333333"/>
    <n v="94.314999999999998"/>
    <n v="96.800833333333344"/>
    <n v="97.204166666666666"/>
    <n v="96.568333333333328"/>
    <n v="94.171666666666667"/>
    <n v="95.700833333333335"/>
    <n v="95.429166666666674"/>
    <n v="97.788333333333341"/>
    <n v="97.861666666666665"/>
    <n v="96.578333333333333"/>
    <n v="94.669166666666669"/>
    <n v="97.61"/>
    <n v="97.681666666666672"/>
    <n v="96.103333333333339"/>
    <n v="95.694999999999993"/>
    <n v="98.220000000000013"/>
    <n v="96.365833333333342"/>
    <n v="94.785000000000011"/>
    <n v="94.018333333333331"/>
    <n v="97.125"/>
    <n v="96.615000000000009"/>
    <n v="95.261666666666656"/>
    <n v="93.685000000000002"/>
    <n v="96.841666666666683"/>
    <n v="94.700833333333321"/>
    <n v="96.773333333333326"/>
    <n v="97.375833333333333"/>
    <n v="96.36"/>
  </r>
  <r>
    <x v="16"/>
    <x v="16"/>
    <x v="16"/>
    <x v="16"/>
    <x v="16"/>
    <n v="9.0649999999999995"/>
    <n v="15.489166666666668"/>
    <n v="33.360833333333332"/>
    <n v="41.984999999999999"/>
    <n v="9.9166666666666667E-2"/>
    <n v="67.977500000000006"/>
    <n v="4.9475000000000007"/>
    <n v="22.923333333333332"/>
    <n v="4.1541666666666668"/>
    <n v="0"/>
    <n v="100"/>
    <n v="12.300833333333335"/>
    <n v="25.035833333333333"/>
    <n v="2.6274999999999999"/>
    <n v="65.957499999999996"/>
    <n v="31.415833333333335"/>
    <n v="62.050000000000004"/>
    <n v="30.977500000000003"/>
    <n v="12.110833333333334"/>
    <n v="8.1650000000000009"/>
    <n v="12.044166666666667"/>
    <n v="13.615"/>
    <n v="15.940833333333332"/>
    <n v="7.1466666666666656"/>
    <n v="0.61416666666666664"/>
    <n v="4.0825000000000005"/>
    <n v="10.338333333333333"/>
    <n v="32.705000000000005"/>
    <n v="52.819166666666668"/>
    <n v="5.4166666666666669E-2"/>
    <n v="90.460833333333326"/>
    <n v="9.5391666666666666"/>
    <n v="10.83"/>
    <n v="17.727499999999999"/>
    <n v="34.69166666666667"/>
    <n v="36.670833333333334"/>
    <n v="7.8333333333333338E-2"/>
    <n v="47.875833333333333"/>
    <n v="5.605833333333333"/>
    <n v="41.349166666666669"/>
    <n v="5.166666666666667"/>
    <n v="0"/>
    <n v="100"/>
    <n v="10.926666666666668"/>
    <n v="22.877499999999998"/>
    <n v="1.0591666666666668"/>
    <n v="56.924166666666672"/>
    <n v="42.015833333333333"/>
    <n v="65.733333333333334"/>
    <n v="34.765833333333333"/>
    <n v="13.503333333333332"/>
    <n v="8.5574999999999992"/>
    <n v="9.8358333333333334"/>
    <n v="9.9741666666666671"/>
    <n v="20.435833333333335"/>
    <n v="2.9316666666666666"/>
    <n v="0.46083333333333337"/>
    <n v="58.554166666666667"/>
    <n v="4.1366666666666667"/>
    <n v="10.540833333333333"/>
    <n v="7.9249999999999998"/>
    <n v="65.06583333333333"/>
    <n v="12.557499999999999"/>
    <n v="24.950833333333332"/>
    <n v="28.51"/>
    <n v="55.89083333333334"/>
    <n v="75.510000000000005"/>
    <n v="24.49"/>
    <n v="95.862499999999997"/>
    <n v="4.1375000000000002"/>
    <n v="10.005000000000001"/>
    <n v="16.635000000000002"/>
    <n v="33.661666666666669"/>
    <n v="39.583333333333336"/>
    <n v="0.11583333333333334"/>
    <n v="68.168333333333337"/>
    <n v="6.31"/>
    <n v="22.611666666666665"/>
    <n v="2.9083333333333332"/>
    <n v="0"/>
    <n v="100"/>
    <n v="17.557500000000001"/>
    <n v="30.016666666666666"/>
    <n v="2.9716666666666662"/>
    <n v="55.7575"/>
    <n v="41.272500000000001"/>
    <n v="51.701666666666661"/>
    <n v="29.394166666666667"/>
    <n v="9.6274999999999995"/>
    <n v="13.934166666666668"/>
    <n v="14.579166666666666"/>
    <n v="9.7216666666666658"/>
    <n v="14.455"/>
    <n v="8.2858333333333345"/>
    <n v="0.72416666666666663"/>
    <n v="4.72"/>
    <n v="12.036666666666667"/>
    <n v="32.951666666666668"/>
    <n v="50.212499999999999"/>
    <n v="7.8333333333333324E-2"/>
    <n v="92.24"/>
    <n v="7.7600000000000007"/>
    <n v="11.385"/>
    <n v="18.9925"/>
    <n v="34.5625"/>
    <n v="34.963333333333331"/>
    <n v="9.8333333333333342E-2"/>
    <n v="51.50333333333333"/>
    <n v="6.9108333333333327"/>
    <n v="37.883333333333333"/>
    <n v="3.6999999999999997"/>
    <n v="0"/>
    <n v="100"/>
    <n v="16"/>
    <n v="28.698333333333334"/>
    <n v="1.1475"/>
    <n v="44.913333333333334"/>
    <n v="53.938333333333333"/>
    <n v="54.71"/>
    <n v="28.431666666666668"/>
    <n v="10.183333333333334"/>
    <n v="15.574166666666665"/>
    <n v="13.478333333333333"/>
    <n v="7.935833333333334"/>
    <n v="21.506666666666664"/>
    <n v="2.8883333333333332"/>
    <n v="0.59249999999999992"/>
    <n v="75.510000000000005"/>
    <n v="4.1375000000000002"/>
    <n v="8.0058333333333334"/>
    <n v="8.2158333333333342"/>
    <n v="64.486666666666665"/>
    <n v="12.487499999999999"/>
    <n v="26.567499999999999"/>
    <n v="27.85083333333333"/>
    <n v="55.913333333333334"/>
    <n v="43.319166666666668"/>
    <n v="56.680833333333332"/>
    <n v="95.865000000000009"/>
    <n v="4.1349999999999998"/>
    <n v="7.5933333333333337"/>
    <n v="13.696666666666667"/>
    <n v="32.886666666666663"/>
    <n v="45.75"/>
    <n v="7.4999999999999997E-2"/>
    <n v="67.677499999999995"/>
    <n v="2.8108333333333335"/>
    <n v="23.412499999999998"/>
    <n v="6.0975000000000001"/>
    <n v="0"/>
    <n v="100"/>
    <n v="4.0558333333333332"/>
    <n v="17.230833333333333"/>
    <n v="1.6908333333333332"/>
    <n v="93.787500000000009"/>
    <n v="4.5200000000000005"/>
    <n v="78.270833333333329"/>
    <n v="32.616666666666667"/>
    <n v="14.683333333333332"/>
    <n v="2.1908333333333334"/>
    <n v="9.4225000000000012"/>
    <n v="17.640833333333333"/>
    <n v="17.476666666666667"/>
    <n v="5.9716666666666667"/>
    <n v="0.44500000000000001"/>
    <n v="3.0549999999999997"/>
    <n v="7.6616666666666662"/>
    <n v="32.512499999999996"/>
    <n v="56.754999999999995"/>
    <n v="1.2500000000000002E-2"/>
    <n v="87.791666666666671"/>
    <n v="12.208333333333334"/>
    <n v="9.9775000000000009"/>
    <n v="15.782499999999999"/>
    <n v="34.905833333333334"/>
    <n v="39.288333333333334"/>
    <n v="4.2500000000000003E-2"/>
    <n v="42.231666666666662"/>
    <n v="3.5866666666666664"/>
    <n v="46.749166666666667"/>
    <n v="7.4349999999999996"/>
    <n v="0"/>
    <n v="100"/>
    <n v="3.063333333333333"/>
    <n v="13.888333333333334"/>
    <n v="0.79"/>
    <n v="95.336666666666659"/>
    <n v="3.874166666666667"/>
    <n v="82.789166666666674"/>
    <n v="41.285000000000004"/>
    <n v="16.9025"/>
    <n v="1.3741666666666668"/>
    <n v="6.1075000000000008"/>
    <n v="12.020833333333334"/>
    <n v="19.3325"/>
    <n v="2.9774999999999996"/>
    <n v="0.25916666666666666"/>
    <n v="43.319166666666668"/>
    <n v="4.1349999999999998"/>
    <n v="14.511666666666668"/>
    <n v="7.4658333333333333"/>
    <n v="65.975000000000009"/>
    <n v="12.674166666666666"/>
    <n v="22.41"/>
    <n v="29.541666666666668"/>
    <n v="55.850833333333334"/>
    <n v="59.1175"/>
    <n v="72.915000000000006"/>
    <n v="46.692500000000003"/>
    <n v="5.3641666666666667"/>
    <n v="5.4899999999999993"/>
    <n v="5.1858333333333331"/>
    <n v="10.914166666666667"/>
    <n v="8.9258333333333333"/>
    <n v="13.71"/>
    <n v="9.6091666666666669"/>
    <n v="9.9866666666666664"/>
    <n v="9.0766666666666662"/>
    <n v="70.099166666666676"/>
    <n v="68.864999999999995"/>
    <n v="71.829166666666666"/>
    <n v="13.374166666666667"/>
    <n v="13.555"/>
    <n v="13.124166666666667"/>
    <n v="22.281666666666666"/>
    <n v="23.969166666666666"/>
    <n v="19.912499999999998"/>
    <n v="27.694999999999997"/>
    <n v="29.326666666666668"/>
    <n v="25.410833333333333"/>
    <n v="45.488333333333337"/>
    <n v="44.104999999999997"/>
    <n v="47.432500000000005"/>
    <n v="59.447499999999998"/>
    <n v="73.22"/>
    <n v="47.000833333333333"/>
    <n v="5.1924999999999999"/>
    <n v="5.3150000000000004"/>
    <n v="5.020833333333333"/>
    <n v="10.791666666666666"/>
    <n v="8.7816666666666663"/>
    <n v="13.621666666666668"/>
    <n v="9.5250000000000004"/>
    <n v="9.9091666666666658"/>
    <n v="8.98"/>
    <n v="70.468333333333334"/>
    <n v="69.362499999999997"/>
    <n v="72.021666666666661"/>
    <n v="13.202500000000001"/>
    <n v="13.362499999999999"/>
    <n v="12.978333333333333"/>
    <n v="22.560000000000002"/>
    <n v="24.176666666666666"/>
    <n v="20.290000000000003"/>
    <n v="27.133333333333336"/>
    <n v="28.613333333333333"/>
    <n v="25.056666666666668"/>
    <n v="44.686666666666667"/>
    <n v="43.314166666666665"/>
    <n v="46.618333333333332"/>
    <n v="95.98"/>
    <n v="97.439166666666665"/>
    <n v="95.758333333333326"/>
    <n v="97.013333333333335"/>
    <n v="95.100000000000009"/>
    <n v="97.030000000000015"/>
    <n v="96.9375"/>
    <n v="96.673333333333332"/>
    <n v="93.172499999999999"/>
    <n v="95.850833333333341"/>
    <n v="94.862499999999997"/>
    <n v="98.345833333333346"/>
    <n v="97.123333333333335"/>
    <n v="96.696666666666658"/>
    <n v="93.947499999999991"/>
    <n v="97.615000000000009"/>
    <n v="97.637500000000003"/>
    <n v="96.914166666666674"/>
    <n v="95.567499999999995"/>
    <n v="98.399166666666659"/>
    <n v="96.058333333333337"/>
    <n v="94.545000000000002"/>
    <n v="94.261666666666656"/>
    <n v="96.626666666666665"/>
    <n v="97.259166666666658"/>
    <n v="96.17"/>
    <n v="94.339999999999989"/>
    <n v="96.473333333333343"/>
    <n v="94.866666666666674"/>
    <n v="96.560833333333335"/>
    <n v="97.451666666666668"/>
    <n v="96.48"/>
  </r>
  <r>
    <x v="17"/>
    <x v="17"/>
    <x v="17"/>
    <x v="17"/>
    <x v="17"/>
    <n v="8.7075000000000014"/>
    <n v="15.225"/>
    <n v="32.789166666666667"/>
    <n v="43.1875"/>
    <n v="9.1666666666666674E-2"/>
    <n v="68.018333333333331"/>
    <n v="5.1349999999999998"/>
    <n v="22.73"/>
    <n v="4.1158333333333337"/>
    <n v="0"/>
    <n v="100"/>
    <n v="11.750833333333333"/>
    <n v="25.022499999999997"/>
    <n v="3.0066666666666664"/>
    <n v="66.19083333333333"/>
    <n v="30.804166666666664"/>
    <n v="62.612500000000004"/>
    <n v="31.110833333333332"/>
    <n v="12.628333333333332"/>
    <n v="8.2825000000000006"/>
    <n v="12.280000000000001"/>
    <n v="13.217500000000001"/>
    <n v="16.140833333333333"/>
    <n v="6.3366666666666669"/>
    <n v="0.61416666666666664"/>
    <n v="3.5574999999999997"/>
    <n v="9.5875000000000004"/>
    <n v="31.265833333333333"/>
    <n v="55.516666666666673"/>
    <n v="7.166666666666667E-2"/>
    <n v="89.734166666666667"/>
    <n v="10.265833333333333"/>
    <n v="11.4925"/>
    <n v="18.070833333333333"/>
    <n v="35.032499999999999"/>
    <n v="35.327500000000001"/>
    <n v="7.8333333333333338E-2"/>
    <n v="44.471666666666664"/>
    <n v="5.9050000000000002"/>
    <n v="44.34"/>
    <n v="5.2875000000000005"/>
    <n v="0"/>
    <n v="100"/>
    <n v="12.594999999999999"/>
    <n v="23.242499999999996"/>
    <n v="0.77249999999999996"/>
    <n v="55.353333333333332"/>
    <n v="43.874166666666667"/>
    <n v="63.678333333333335"/>
    <n v="36.763333333333328"/>
    <n v="13.536666666666667"/>
    <n v="8.1433333333333326"/>
    <n v="10.506666666666666"/>
    <n v="6.4408333333333339"/>
    <n v="22.918333333333333"/>
    <n v="1.6916666666666667"/>
    <n v="0.48416666666666663"/>
    <n v="59.682500000000005"/>
    <n v="3.2733333333333334"/>
    <n v="9.0325000000000006"/>
    <n v="6.4125000000000005"/>
    <n v="64.910833333333343"/>
    <n v="8.2891666666666666"/>
    <n v="30.206666666666667"/>
    <n v="28.258333333333336"/>
    <n v="55.344999999999999"/>
    <n v="76.172499999999999"/>
    <n v="23.827500000000001"/>
    <n v="96.734166666666667"/>
    <n v="3.2658333333333331"/>
    <n v="9.5408333333333335"/>
    <n v="16.317499999999999"/>
    <n v="33.131666666666668"/>
    <n v="40.905000000000001"/>
    <n v="0.10666666666666667"/>
    <n v="68.16"/>
    <n v="6.6541666666666659"/>
    <n v="22.430000000000003"/>
    <n v="2.7550000000000003"/>
    <n v="0"/>
    <n v="100"/>
    <n v="16.805833333333332"/>
    <n v="30.132499999999997"/>
    <n v="3.4849999999999999"/>
    <n v="55.49"/>
    <n v="41.024999999999999"/>
    <n v="52.342500000000001"/>
    <n v="29.74"/>
    <n v="10.25"/>
    <n v="14.075833333333334"/>
    <n v="14.799166666666666"/>
    <n v="9.1841666666666679"/>
    <n v="14.555"/>
    <n v="7.395833333333333"/>
    <n v="0.71749999999999992"/>
    <n v="4.190833333333333"/>
    <n v="10.825833333333334"/>
    <n v="32.510833333333331"/>
    <n v="52.363333333333337"/>
    <n v="0.10833333333333334"/>
    <n v="92.227500000000006"/>
    <n v="7.7725"/>
    <n v="11.893333333333333"/>
    <n v="19.287499999999998"/>
    <n v="34.863333333333337"/>
    <n v="33.851666666666667"/>
    <n v="0.10333333333333333"/>
    <n v="48.384999999999998"/>
    <n v="7.5249999999999995"/>
    <n v="40.240833333333335"/>
    <n v="3.8516666666666666"/>
    <n v="0"/>
    <n v="100"/>
    <n v="18.352499999999999"/>
    <n v="29.080833333333334"/>
    <n v="0.91249999999999998"/>
    <n v="43.088333333333331"/>
    <n v="55.998333333333335"/>
    <n v="52.048333333333339"/>
    <n v="30.89"/>
    <n v="9.5483333333333338"/>
    <n v="14.774166666666666"/>
    <n v="14.448333333333332"/>
    <n v="5.1224999999999996"/>
    <n v="23.290833333333335"/>
    <n v="1.9225000000000001"/>
    <n v="0.51833333333333331"/>
    <n v="76.172499999999999"/>
    <n v="3.2658333333333331"/>
    <n v="6.6916666666666664"/>
    <n v="6.6774999999999993"/>
    <n v="64.171666666666667"/>
    <n v="8.456666666666667"/>
    <n v="32.182499999999997"/>
    <n v="27.66333333333333"/>
    <n v="55.051666666666669"/>
    <n v="45.044166666666662"/>
    <n v="54.955833333333338"/>
    <n v="96.714999999999989"/>
    <n v="3.2850000000000001"/>
    <n v="7.4533333333333331"/>
    <n v="13.583333333333334"/>
    <n v="32.279166666666669"/>
    <n v="46.616666666666667"/>
    <n v="6.8333333333333343E-2"/>
    <n v="67.811666666666667"/>
    <n v="2.8508333333333336"/>
    <n v="23.177499999999998"/>
    <n v="6.1608333333333336"/>
    <n v="0"/>
    <n v="100"/>
    <n v="4.1641666666666666"/>
    <n v="17.345833333333335"/>
    <n v="1.7575000000000001"/>
    <n v="94.115000000000009"/>
    <n v="4.128333333333333"/>
    <n v="78.03"/>
    <n v="32.49583333333333"/>
    <n v="15.023333333333333"/>
    <n v="2.4458333333333333"/>
    <n v="9.7449999999999992"/>
    <n v="17.284166666666668"/>
    <n v="17.736666666666668"/>
    <n v="5.2700000000000005"/>
    <n v="0.45999999999999996"/>
    <n v="2.5666666666666669"/>
    <n v="7.7433333333333332"/>
    <n v="29.456666666666667"/>
    <n v="60.219166666666666"/>
    <n v="1.7499999999999998E-2"/>
    <n v="86.04"/>
    <n v="13.96"/>
    <n v="10.835000000000001"/>
    <n v="16.151666666666667"/>
    <n v="35.301666666666669"/>
    <n v="37.677500000000002"/>
    <n v="3.4166666666666672E-2"/>
    <n v="38.291666666666664"/>
    <n v="3.3441666666666667"/>
    <n v="50.81583333333333"/>
    <n v="7.5474999999999994"/>
    <n v="0"/>
    <n v="100"/>
    <n v="3.4875000000000003"/>
    <n v="14.004166666666668"/>
    <n v="0.31083333333333335"/>
    <n v="95.647499999999994"/>
    <n v="4.0424999999999995"/>
    <n v="82.07416666666667"/>
    <n v="42.634166666666665"/>
    <n v="17.55"/>
    <n v="1.4791666666666667"/>
    <n v="6.5558333333333332"/>
    <n v="7.769166666666667"/>
    <n v="22.55"/>
    <n v="1.46"/>
    <n v="0.43333333333333335"/>
    <n v="45.044166666666662"/>
    <n v="3.2850000000000001"/>
    <n v="12.545"/>
    <n v="6.0133333333333328"/>
    <n v="66.023333333333326"/>
    <n v="8.0383333333333322"/>
    <n v="27.24"/>
    <n v="29.14833333333333"/>
    <n v="55.776666666666671"/>
    <n v="60.695"/>
    <n v="74.210833333333326"/>
    <n v="48.63"/>
    <n v="4.2250000000000005"/>
    <n v="4.3516666666666666"/>
    <n v="4.0550000000000006"/>
    <n v="9.0341666666666658"/>
    <n v="7.1966666666666663"/>
    <n v="11.529166666666667"/>
    <n v="7.544999999999999"/>
    <n v="7.8125"/>
    <n v="7.1741666666666672"/>
    <n v="70.174166666666665"/>
    <n v="68.729166666666671"/>
    <n v="72.142499999999998"/>
    <n v="8.3950000000000014"/>
    <n v="8.5316666666666663"/>
    <n v="8.2033333333333331"/>
    <n v="26.85166666666667"/>
    <n v="28.686666666666667"/>
    <n v="24.363333333333333"/>
    <n v="26.849999999999998"/>
    <n v="28.379166666666666"/>
    <n v="24.767499999999998"/>
    <n v="44.549166666666672"/>
    <n v="42.975833333333334"/>
    <n v="46.67166666666666"/>
    <n v="60.933333333333337"/>
    <n v="74.462499999999991"/>
    <n v="48.822499999999998"/>
    <n v="4.1033333333333335"/>
    <n v="4.208333333333333"/>
    <n v="3.9550000000000001"/>
    <n v="8.9658333333333342"/>
    <n v="7.0958333333333341"/>
    <n v="11.514166666666668"/>
    <n v="7.5241666666666669"/>
    <n v="7.793333333333333"/>
    <n v="7.1533333333333333"/>
    <n v="70.558333333333337"/>
    <n v="69.223333333333329"/>
    <n v="72.384166666666673"/>
    <n v="8.4166666666666661"/>
    <n v="8.5741666666666667"/>
    <n v="8.1983333333333324"/>
    <n v="27.236666666666668"/>
    <n v="28.980833333333333"/>
    <n v="24.866666666666664"/>
    <n v="26.319999999999997"/>
    <n v="27.695833333333336"/>
    <n v="24.441666666666666"/>
    <n v="43.830833333333338"/>
    <n v="42.238333333333337"/>
    <n v="45.994166666666665"/>
    <n v="96.276666666666657"/>
    <n v="97.580833333333331"/>
    <n v="97.149166666666659"/>
    <n v="97.388333333333335"/>
    <n v="95.854166666666671"/>
    <n v="97.475000000000009"/>
    <n v="97.555000000000007"/>
    <n v="97.603333333333339"/>
    <n v="94.743333333333339"/>
    <n v="96.654166666666654"/>
    <n v="96.631666666666661"/>
    <n v="98.583333333333329"/>
    <n v="97.576666666666668"/>
    <n v="97.601666666666674"/>
    <n v="95.30083333333333"/>
    <n v="98.272499999999994"/>
    <n v="97.705833333333331"/>
    <n v="97.30916666666667"/>
    <n v="96.154166666666654"/>
    <n v="98.566666666666663"/>
    <n v="97.118333333333339"/>
    <n v="96.131666666666661"/>
    <n v="97.265833333333333"/>
    <n v="96.858333333333334"/>
    <n v="97.091666666666654"/>
    <n v="96.944999999999993"/>
    <n v="94.975833333333341"/>
    <n v="96.345833333333346"/>
    <n v="96.23833333333333"/>
    <n v="97.295833333333334"/>
    <n v="97.984166666666667"/>
    <n v="97.210833333333326"/>
  </r>
  <r>
    <x v="18"/>
    <x v="18"/>
    <x v="18"/>
    <x v="18"/>
    <x v="18"/>
    <n v="8.51"/>
    <n v="15.087999999999999"/>
    <n v="32.724000000000004"/>
    <n v="43.594000000000001"/>
    <n v="8.7999999999999995E-2"/>
    <n v="68.373999999999995"/>
    <n v="5.2919999999999998"/>
    <n v="22.425999999999998"/>
    <n v="3.9060000000000001"/>
    <n v="0"/>
    <n v="100"/>
    <n v="11.28"/>
    <n v="24.954000000000001"/>
    <n v="2.8820000000000001"/>
    <n v="66.367999999999995"/>
    <n v="30.75"/>
    <n v="63.141999999999996"/>
    <n v="31.142000000000003"/>
    <n v="12.55"/>
    <n v="8.4499999999999993"/>
    <n v="12.361999999999998"/>
    <n v="12.837999999999999"/>
    <n v="16.309999999999999"/>
    <n v="6.35"/>
    <n v="0.622"/>
    <n v="3.524"/>
    <n v="9.4580000000000002"/>
    <n v="32.386000000000003"/>
    <n v="54.568000000000005"/>
    <n v="6.4000000000000001E-2"/>
    <n v="89.186000000000007"/>
    <n v="10.814"/>
    <n v="11.564"/>
    <n v="18.398000000000003"/>
    <n v="34.146000000000001"/>
    <n v="35.793999999999997"/>
    <n v="0.10200000000000001"/>
    <n v="44.977999999999994"/>
    <n v="6.194"/>
    <n v="43.841999999999999"/>
    <n v="4.984"/>
    <n v="0"/>
    <n v="100"/>
    <n v="12.968"/>
    <n v="24.564"/>
    <n v="1.1960000000000002"/>
    <n v="56.89"/>
    <n v="41.914000000000001"/>
    <n v="61.846000000000004"/>
    <n v="36.821999999999996"/>
    <n v="13.862"/>
    <n v="8.3520000000000003"/>
    <n v="10.542"/>
    <n v="6.5220000000000002"/>
    <n v="22.35"/>
    <n v="1.55"/>
    <n v="0.62200000000000011"/>
    <n v="60.255999999999993"/>
    <n v="2.7719999999999998"/>
    <n v="8.8580000000000005"/>
    <n v="5.8980000000000006"/>
    <n v="65.407999999999987"/>
    <n v="7.6740000000000013"/>
    <n v="32.024000000000001"/>
    <n v="28.076000000000001"/>
    <n v="55.034000000000006"/>
    <n v="76.236000000000004"/>
    <n v="23.763999999999999"/>
    <n v="97.253999999999991"/>
    <n v="2.746"/>
    <n v="9.41"/>
    <n v="16.238"/>
    <n v="32.957999999999998"/>
    <n v="41.298000000000002"/>
    <n v="9.4E-2"/>
    <n v="68.066000000000003"/>
    <n v="6.918000000000001"/>
    <n v="22.338000000000001"/>
    <n v="2.6759999999999997"/>
    <n v="0"/>
    <n v="100"/>
    <n v="16.253999999999998"/>
    <n v="30.032"/>
    <n v="3.4"/>
    <n v="55.506000000000007"/>
    <n v="41.094000000000001"/>
    <n v="53.015999999999998"/>
    <n v="29.881999999999998"/>
    <n v="10.164"/>
    <n v="14.502000000000001"/>
    <n v="15.036000000000001"/>
    <n v="8.9599999999999991"/>
    <n v="14.222"/>
    <n v="7.234"/>
    <n v="0.70199999999999996"/>
    <n v="4.3760000000000003"/>
    <n v="11.016"/>
    <n v="31.868000000000002"/>
    <n v="52.646000000000001"/>
    <n v="9.6000000000000002E-2"/>
    <n v="90.984000000000009"/>
    <n v="9.016"/>
    <n v="12.312000000000001"/>
    <n v="19.667999999999999"/>
    <n v="33.908000000000001"/>
    <n v="33.951999999999998"/>
    <n v="0.16200000000000001"/>
    <n v="49.676000000000002"/>
    <n v="7.9239999999999995"/>
    <n v="38.756"/>
    <n v="3.6420000000000003"/>
    <n v="0"/>
    <n v="100"/>
    <n v="18.544"/>
    <n v="30.643999999999998"/>
    <n v="1.3740000000000001"/>
    <n v="44.506"/>
    <n v="54.116"/>
    <n v="50.103999999999999"/>
    <n v="30.080000000000002"/>
    <n v="10.581999999999999"/>
    <n v="15.512"/>
    <n v="14.746"/>
    <n v="4.9060000000000006"/>
    <n v="22.506"/>
    <n v="1.6679999999999999"/>
    <n v="0.70600000000000007"/>
    <n v="76.236000000000004"/>
    <n v="2.746"/>
    <n v="6.3860000000000001"/>
    <n v="6.1319999999999997"/>
    <n v="64.222000000000008"/>
    <n v="7.9359999999999999"/>
    <n v="34.124000000000002"/>
    <n v="27.475999999999999"/>
    <n v="54.415999999999997"/>
    <n v="46.073999999999998"/>
    <n v="53.926000000000002"/>
    <n v="97.188000000000017"/>
    <n v="2.8120000000000003"/>
    <n v="7.1879999999999997"/>
    <n v="13.392000000000001"/>
    <n v="32.381999999999998"/>
    <n v="46.963999999999999"/>
    <n v="7.5999999999999998E-2"/>
    <n v="68.832000000000008"/>
    <n v="2.9039999999999999"/>
    <n v="22.552"/>
    <n v="5.71"/>
    <n v="0"/>
    <n v="100"/>
    <n v="3.968"/>
    <n v="17.490000000000002"/>
    <n v="1.58"/>
    <n v="93.77000000000001"/>
    <n v="4.6500000000000004"/>
    <n v="78.036000000000001"/>
    <n v="32.4"/>
    <n v="14.931999999999999"/>
    <n v="2.4079999999999999"/>
    <n v="9.6920000000000002"/>
    <n v="16.707999999999998"/>
    <n v="18.392000000000003"/>
    <n v="5.4659999999999993"/>
    <n v="0.504"/>
    <n v="2.3319999999999999"/>
    <n v="7.2680000000000007"/>
    <n v="33.165999999999997"/>
    <n v="57.220000000000006"/>
    <n v="1.6E-2"/>
    <n v="86.498000000000005"/>
    <n v="13.502000000000001"/>
    <n v="10.362"/>
    <n v="16.352"/>
    <n v="34.54"/>
    <n v="38.731999999999999"/>
    <n v="0.01"/>
    <n v="37.507999999999996"/>
    <n v="3.44"/>
    <n v="51.95"/>
    <n v="7.1019999999999994"/>
    <n v="0"/>
    <n v="100"/>
    <n v="4.056"/>
    <n v="14.872"/>
    <n v="0.63"/>
    <n v="97.853999999999999"/>
    <n v="1.52"/>
    <n v="80.587999999999994"/>
    <n v="43.522000000000006"/>
    <n v="17.130000000000003"/>
    <n v="1.228"/>
    <n v="6.4079999999999995"/>
    <n v="8.0939999999999994"/>
    <n v="22.186"/>
    <n v="1.4339999999999999"/>
    <n v="0.48799999999999999"/>
    <n v="46.073999999999998"/>
    <n v="2.8120000000000003"/>
    <n v="12.492000000000001"/>
    <n v="5.5519999999999996"/>
    <n v="67.147999999999996"/>
    <n v="7.2919999999999998"/>
    <n v="28.933999999999997"/>
    <n v="28.956"/>
    <n v="55.941999999999993"/>
    <n v="60.878"/>
    <n v="73.772000000000006"/>
    <n v="49.384"/>
    <n v="3.3959999999999999"/>
    <n v="3.3959999999999999"/>
    <n v="3.3959999999999999"/>
    <n v="8.4979999999999993"/>
    <n v="6.4259999999999993"/>
    <n v="11.254000000000001"/>
    <n v="6.6059999999999999"/>
    <n v="6.7879999999999994"/>
    <n v="6.3659999999999997"/>
    <n v="70.49199999999999"/>
    <n v="68.84"/>
    <n v="72.691999999999993"/>
    <n v="7.2200000000000006"/>
    <n v="7.4099999999999993"/>
    <n v="6.9719999999999995"/>
    <n v="28.655999999999999"/>
    <n v="30.588000000000001"/>
    <n v="26.092000000000002"/>
    <n v="26.384000000000004"/>
    <n v="27.757999999999999"/>
    <n v="24.553999999999998"/>
    <n v="44.558"/>
    <n v="42.791999999999994"/>
    <n v="46.908000000000001"/>
    <n v="61.037999999999997"/>
    <n v="73.989999999999995"/>
    <n v="49.45"/>
    <n v="3.3479999999999999"/>
    <n v="3.3439999999999999"/>
    <n v="3.3579999999999997"/>
    <n v="8.4400000000000013"/>
    <n v="6.3660000000000005"/>
    <n v="11.212"/>
    <n v="6.6059999999999999"/>
    <n v="6.7859999999999996"/>
    <n v="6.3639999999999999"/>
    <n v="70.897999999999996"/>
    <n v="69.384"/>
    <n v="72.927999999999997"/>
    <n v="7.2159999999999993"/>
    <n v="7.3900000000000006"/>
    <n v="6.9819999999999993"/>
    <n v="29.155999999999999"/>
    <n v="31.01"/>
    <n v="26.673999999999999"/>
    <n v="25.818000000000001"/>
    <n v="27.052"/>
    <n v="24.167999999999999"/>
    <n v="43.765999999999998"/>
    <n v="42"/>
    <n v="46.124000000000002"/>
    <n v="96.825999999999993"/>
    <n v="98.17"/>
    <n v="97.253999999999991"/>
    <n v="98.14"/>
    <n v="96.507999999999996"/>
    <n v="97.955999999999989"/>
    <n v="97.944000000000003"/>
    <n v="97.376000000000005"/>
    <n v="95.876000000000005"/>
    <n v="96.872"/>
    <n v="96.84"/>
    <n v="98.414000000000001"/>
    <n v="97.238"/>
    <n v="97.524000000000001"/>
    <n v="96.372"/>
    <n v="98.05"/>
    <n v="98.463999999999999"/>
    <n v="98.078000000000003"/>
    <n v="96.683999999999997"/>
    <n v="98.622"/>
    <n v="97.762"/>
    <n v="97.231999999999999"/>
    <n v="97.56"/>
    <n v="97.626000000000005"/>
    <n v="98.024000000000001"/>
    <n v="97.116"/>
    <n v="96.025999999999996"/>
    <n v="97.057999999999993"/>
    <n v="96.674000000000007"/>
    <n v="97.772000000000006"/>
    <n v="98.205999999999989"/>
    <n v="96.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33A48D-6732-4E3D-AC8E-5DE126EB9725}" name="PivotTable6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Año">
  <location ref="B20:F40" firstHeaderRow="0" firstDataRow="1" firstDataCol="1"/>
  <pivotFields count="300">
    <pivotField axis="axisRow" numFmtId="165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numFmtId="164" showAll="0"/>
    <pivotField dataField="1" numFmtId="164" showAll="0"/>
    <pivotField dataField="1"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4">
    <field x="299"/>
    <field x="298"/>
    <field x="297"/>
    <field x="0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EA" fld="1" baseField="299" baseItem="1"/>
    <dataField name="No PEA" fld="2" baseField="299" baseItem="1"/>
    <dataField name="PEA Ocupada" fld="3" baseField="299" baseItem="1"/>
    <dataField name="PEA Desocupada" fld="4" baseField="299" baseItem="1"/>
  </dataFields>
  <formats count="1">
    <format dxfId="7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7252BA-B29A-40CC-A8C8-A6022FAD38A4}" name="Table_bie_by_year_resampled" displayName="Table_bie_by_year_resampled" ref="A1:H20" totalsRowShown="0">
  <autoFilter ref="A1:H20" xr:uid="{8D7252BA-B29A-40CC-A8C8-A6022FAD38A4}"/>
  <tableColumns count="8">
    <tableColumn id="1" xr3:uid="{EEE33909-99F5-4D0A-89BF-8E9507FF6EE6}" name="periodo"/>
    <tableColumn id="2" xr3:uid="{16BC3C4D-6FF2-48EB-A704-BFADB084441D}" name="a_pea" dataDxfId="6"/>
    <tableColumn id="3" xr3:uid="{46E37EF0-94CA-44BF-87E8-601D657E4A31}" name="a_npea" dataDxfId="5"/>
    <tableColumn id="4" xr3:uid="{CA2A0AB4-4212-4BD5-B0B8-51845AB06739}" name="a_pea_ocupada" dataDxfId="4"/>
    <tableColumn id="5" xr3:uid="{FE40E530-EA71-4627-B3D2-C2EDF3036F13}" name="a_pea_desocupada" dataDxfId="3"/>
    <tableColumn id="72" xr3:uid="{1AFE1744-C782-4DC6-9C26-8DC9511D27A3}" name="g_pea15h" dataDxfId="2"/>
    <tableColumn id="73" xr3:uid="{E7BF070E-80F8-4397-BDFC-2B834654071B}" name="g_npea15h" dataDxfId="1"/>
    <tableColumn id="142" xr3:uid="{0112B34C-D9BB-4AE6-AEA1-D9DA83DD2DDF}" name="g_pea15m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FA4FC-D02B-4E1D-B6EA-C12AEBA9106B}">
  <dimension ref="B1:L40"/>
  <sheetViews>
    <sheetView tabSelected="1" workbookViewId="0">
      <selection activeCell="N10" sqref="N10"/>
    </sheetView>
  </sheetViews>
  <sheetFormatPr defaultRowHeight="20.100000000000001" customHeight="1" x14ac:dyDescent="0.25"/>
  <cols>
    <col min="1" max="1" width="1.625" style="2" customWidth="1"/>
    <col min="2" max="6" width="15.625" style="2" customWidth="1"/>
    <col min="7" max="7" width="1.625" style="2" customWidth="1"/>
    <col min="8" max="8" width="30.625" style="2" customWidth="1"/>
    <col min="9" max="9" width="1.625" style="2" customWidth="1"/>
    <col min="10" max="10" width="30.625" style="2" customWidth="1"/>
    <col min="11" max="11" width="7.625" style="2" customWidth="1"/>
    <col min="12" max="12" width="30.625" style="2" customWidth="1"/>
    <col min="13" max="13" width="1.625" style="2" customWidth="1"/>
    <col min="14" max="14" width="30.625" style="2" customWidth="1"/>
    <col min="15" max="15" width="1.625" style="2" customWidth="1"/>
    <col min="16" max="16384" width="9" style="2"/>
  </cols>
  <sheetData>
    <row r="1" spans="2:12" s="1" customFormat="1" ht="20.100000000000001" customHeight="1" x14ac:dyDescent="0.25"/>
    <row r="2" spans="2:12" s="1" customFormat="1" ht="30" customHeight="1" x14ac:dyDescent="0.45">
      <c r="B2" s="11" t="s">
        <v>39</v>
      </c>
    </row>
    <row r="3" spans="2:12" s="1" customFormat="1" ht="20.100000000000001" customHeight="1" x14ac:dyDescent="0.25"/>
    <row r="4" spans="2:12" s="4" customFormat="1" ht="20.100000000000001" customHeight="1" x14ac:dyDescent="0.25"/>
    <row r="5" spans="2:12" s="3" customFormat="1" ht="20.100000000000001" customHeight="1" x14ac:dyDescent="0.25"/>
    <row r="8" spans="2:12" ht="20.100000000000001" customHeight="1" x14ac:dyDescent="0.3">
      <c r="H8" s="7" t="s">
        <v>8</v>
      </c>
      <c r="L8" s="7" t="s">
        <v>10</v>
      </c>
    </row>
    <row r="9" spans="2:12" ht="20.100000000000001" customHeight="1" x14ac:dyDescent="0.25">
      <c r="H9" s="12">
        <f>'Conjunto de datos'!B20</f>
        <v>60.255999999999993</v>
      </c>
      <c r="L9" s="12">
        <f>'Conjunto de datos'!D20</f>
        <v>97.227999999999994</v>
      </c>
    </row>
    <row r="10" spans="2:12" ht="20.100000000000001" customHeight="1" x14ac:dyDescent="0.25">
      <c r="H10" s="13"/>
      <c r="L10" s="13"/>
    </row>
    <row r="11" spans="2:12" ht="20.100000000000001" customHeight="1" x14ac:dyDescent="0.25">
      <c r="H11" s="13"/>
      <c r="L11" s="13"/>
    </row>
    <row r="12" spans="2:12" ht="20.100000000000001" customHeight="1" x14ac:dyDescent="0.25">
      <c r="H12" s="13"/>
      <c r="L12" s="13"/>
    </row>
    <row r="14" spans="2:12" ht="20.100000000000001" customHeight="1" x14ac:dyDescent="0.3">
      <c r="H14" s="8" t="s">
        <v>9</v>
      </c>
      <c r="L14" s="7" t="s">
        <v>11</v>
      </c>
    </row>
    <row r="15" spans="2:12" ht="20.100000000000001" customHeight="1" x14ac:dyDescent="0.25">
      <c r="H15" s="12">
        <f>'Conjunto de datos'!C20</f>
        <v>39.744</v>
      </c>
      <c r="L15" s="12">
        <f>'Conjunto de datos'!E20</f>
        <v>2.7719999999999998</v>
      </c>
    </row>
    <row r="16" spans="2:12" ht="20.100000000000001" customHeight="1" x14ac:dyDescent="0.25">
      <c r="H16" s="13"/>
      <c r="L16" s="13"/>
    </row>
    <row r="17" spans="2:12" ht="20.100000000000001" customHeight="1" x14ac:dyDescent="0.25">
      <c r="H17" s="13"/>
      <c r="L17" s="13"/>
    </row>
    <row r="18" spans="2:12" ht="20.100000000000001" customHeight="1" x14ac:dyDescent="0.25">
      <c r="H18" s="13"/>
      <c r="L18" s="13"/>
    </row>
    <row r="20" spans="2:12" ht="20.100000000000001" customHeight="1" x14ac:dyDescent="0.3">
      <c r="B20" s="9" t="s">
        <v>32</v>
      </c>
      <c r="C20" t="s">
        <v>33</v>
      </c>
      <c r="D20" t="s">
        <v>34</v>
      </c>
      <c r="E20" t="s">
        <v>35</v>
      </c>
      <c r="F20" t="s">
        <v>36</v>
      </c>
      <c r="L20" s="7" t="s">
        <v>37</v>
      </c>
    </row>
    <row r="21" spans="2:12" ht="20.100000000000001" customHeight="1" x14ac:dyDescent="0.25">
      <c r="B21" s="10" t="s">
        <v>13</v>
      </c>
      <c r="C21" s="5">
        <v>59.302500000000002</v>
      </c>
      <c r="D21" s="5">
        <v>40.697499999999998</v>
      </c>
      <c r="E21" s="5">
        <v>96.52</v>
      </c>
      <c r="F21" s="5">
        <v>3.48</v>
      </c>
      <c r="L21" s="12">
        <f>'Conjunto de datos'!F20</f>
        <v>76.236000000000004</v>
      </c>
    </row>
    <row r="22" spans="2:12" ht="20.100000000000001" customHeight="1" x14ac:dyDescent="0.25">
      <c r="B22" s="10" t="s">
        <v>14</v>
      </c>
      <c r="C22" s="5">
        <v>60.085833333333333</v>
      </c>
      <c r="D22" s="5">
        <v>39.914166666666667</v>
      </c>
      <c r="E22" s="5">
        <v>96.469999999999985</v>
      </c>
      <c r="F22" s="5">
        <v>3.53</v>
      </c>
      <c r="L22" s="13"/>
    </row>
    <row r="23" spans="2:12" ht="20.100000000000001" customHeight="1" x14ac:dyDescent="0.25">
      <c r="B23" s="10" t="s">
        <v>15</v>
      </c>
      <c r="C23" s="5">
        <v>60.049166666666672</v>
      </c>
      <c r="D23" s="5">
        <v>39.950833333333335</v>
      </c>
      <c r="E23" s="5">
        <v>96.384999999999991</v>
      </c>
      <c r="F23" s="5">
        <v>3.6149999999999998</v>
      </c>
      <c r="L23" s="13"/>
    </row>
    <row r="24" spans="2:12" ht="20.100000000000001" customHeight="1" x14ac:dyDescent="0.25">
      <c r="B24" s="10" t="s">
        <v>16</v>
      </c>
      <c r="C24" s="5">
        <v>59.901666666666671</v>
      </c>
      <c r="D24" s="5">
        <v>40.098333333333336</v>
      </c>
      <c r="E24" s="5">
        <v>96.116666666666674</v>
      </c>
      <c r="F24" s="5">
        <v>3.8833333333333333</v>
      </c>
      <c r="L24" s="13"/>
    </row>
    <row r="25" spans="2:12" ht="20.100000000000001" customHeight="1" x14ac:dyDescent="0.25">
      <c r="B25" s="10" t="s">
        <v>17</v>
      </c>
      <c r="C25" s="5">
        <v>59.868333333333332</v>
      </c>
      <c r="D25" s="5">
        <v>40.131666666666668</v>
      </c>
      <c r="E25" s="5">
        <v>94.660000000000011</v>
      </c>
      <c r="F25" s="5">
        <v>5.34</v>
      </c>
    </row>
    <row r="26" spans="2:12" ht="20.100000000000001" customHeight="1" x14ac:dyDescent="0.3">
      <c r="B26" s="10" t="s">
        <v>18</v>
      </c>
      <c r="C26" s="5">
        <v>59.629999999999995</v>
      </c>
      <c r="D26" s="5">
        <v>40.369999999999997</v>
      </c>
      <c r="E26" s="5">
        <v>94.724166666666676</v>
      </c>
      <c r="F26" s="5">
        <v>5.2758333333333338</v>
      </c>
      <c r="L26" s="7" t="s">
        <v>38</v>
      </c>
    </row>
    <row r="27" spans="2:12" ht="20.100000000000001" customHeight="1" x14ac:dyDescent="0.25">
      <c r="B27" s="10" t="s">
        <v>19</v>
      </c>
      <c r="C27" s="5">
        <v>59.729166666666664</v>
      </c>
      <c r="D27" s="5">
        <v>40.270833333333336</v>
      </c>
      <c r="E27" s="5">
        <v>94.824166666666656</v>
      </c>
      <c r="F27" s="5">
        <v>5.1758333333333333</v>
      </c>
      <c r="L27" s="12">
        <f>'Conjunto de datos'!H20</f>
        <v>46.073999999999998</v>
      </c>
    </row>
    <row r="28" spans="2:12" ht="20.100000000000001" customHeight="1" x14ac:dyDescent="0.25">
      <c r="B28" s="10" t="s">
        <v>20</v>
      </c>
      <c r="C28" s="5">
        <v>60.370833333333337</v>
      </c>
      <c r="D28" s="5">
        <v>39.62916666666667</v>
      </c>
      <c r="E28" s="5">
        <v>95.110833333333332</v>
      </c>
      <c r="F28" s="5">
        <v>4.8891666666666671</v>
      </c>
      <c r="L28" s="13"/>
    </row>
    <row r="29" spans="2:12" ht="20.100000000000001" customHeight="1" x14ac:dyDescent="0.25">
      <c r="B29" s="10" t="s">
        <v>21</v>
      </c>
      <c r="C29" s="5">
        <v>60.384999999999998</v>
      </c>
      <c r="D29" s="5">
        <v>39.615000000000002</v>
      </c>
      <c r="E29" s="5">
        <v>95.057500000000005</v>
      </c>
      <c r="F29" s="5">
        <v>4.9424999999999999</v>
      </c>
      <c r="L29" s="13"/>
    </row>
    <row r="30" spans="2:12" ht="20.100000000000001" customHeight="1" x14ac:dyDescent="0.25">
      <c r="B30" s="10" t="s">
        <v>22</v>
      </c>
      <c r="C30" s="5">
        <v>59.855833333333329</v>
      </c>
      <c r="D30" s="5">
        <v>40.144166666666671</v>
      </c>
      <c r="E30" s="5">
        <v>95.161666666666676</v>
      </c>
      <c r="F30" s="5">
        <v>4.8383333333333338</v>
      </c>
      <c r="L30" s="13"/>
    </row>
    <row r="31" spans="2:12" ht="20.100000000000001" customHeight="1" x14ac:dyDescent="0.25">
      <c r="B31" s="10" t="s">
        <v>23</v>
      </c>
      <c r="C31" s="5">
        <v>59.861666666666672</v>
      </c>
      <c r="D31" s="5">
        <v>40.138333333333328</v>
      </c>
      <c r="E31" s="5">
        <v>95.649166666666659</v>
      </c>
      <c r="F31" s="5">
        <v>4.3508333333333331</v>
      </c>
    </row>
    <row r="32" spans="2:12" ht="20.100000000000001" customHeight="1" x14ac:dyDescent="0.25">
      <c r="B32" s="10" t="s">
        <v>24</v>
      </c>
      <c r="C32" s="5">
        <v>59.723333333333336</v>
      </c>
      <c r="D32" s="5">
        <v>40.276666666666664</v>
      </c>
      <c r="E32" s="5">
        <v>96.122500000000002</v>
      </c>
      <c r="F32" s="5">
        <v>3.8774999999999999</v>
      </c>
    </row>
    <row r="33" spans="2:6" ht="20.100000000000001" customHeight="1" x14ac:dyDescent="0.25">
      <c r="B33" s="10" t="s">
        <v>25</v>
      </c>
      <c r="C33" s="5">
        <v>59.360833333333339</v>
      </c>
      <c r="D33" s="5">
        <v>40.639166666666668</v>
      </c>
      <c r="E33" s="5">
        <v>96.58</v>
      </c>
      <c r="F33" s="5">
        <v>3.42</v>
      </c>
    </row>
    <row r="34" spans="2:6" ht="20.100000000000001" customHeight="1" x14ac:dyDescent="0.25">
      <c r="B34" s="10" t="s">
        <v>26</v>
      </c>
      <c r="C34" s="5">
        <v>59.604166666666664</v>
      </c>
      <c r="D34" s="5">
        <v>40.395833333333336</v>
      </c>
      <c r="E34" s="5">
        <v>96.68</v>
      </c>
      <c r="F34" s="5">
        <v>3.3200000000000003</v>
      </c>
    </row>
    <row r="35" spans="2:6" ht="20.100000000000001" customHeight="1" x14ac:dyDescent="0.25">
      <c r="B35" s="10" t="s">
        <v>27</v>
      </c>
      <c r="C35" s="5">
        <v>60.129999999999995</v>
      </c>
      <c r="D35" s="5">
        <v>39.869999999999997</v>
      </c>
      <c r="E35" s="5">
        <v>96.509166666666673</v>
      </c>
      <c r="F35" s="5">
        <v>3.4908333333333332</v>
      </c>
    </row>
    <row r="36" spans="2:6" ht="20.100000000000001" customHeight="1" x14ac:dyDescent="0.25">
      <c r="B36" s="10" t="s">
        <v>28</v>
      </c>
      <c r="C36" s="5">
        <v>55.356666666666662</v>
      </c>
      <c r="D36" s="5">
        <v>44.643333333333338</v>
      </c>
      <c r="E36" s="5">
        <v>95.568333333333328</v>
      </c>
      <c r="F36" s="5">
        <v>4.4316666666666666</v>
      </c>
    </row>
    <row r="37" spans="2:6" ht="20.100000000000001" customHeight="1" x14ac:dyDescent="0.25">
      <c r="B37" s="10" t="s">
        <v>29</v>
      </c>
      <c r="C37" s="5">
        <v>58.554166666666667</v>
      </c>
      <c r="D37" s="5">
        <v>41.445833333333333</v>
      </c>
      <c r="E37" s="5">
        <v>95.86333333333333</v>
      </c>
      <c r="F37" s="5">
        <v>4.1366666666666667</v>
      </c>
    </row>
    <row r="38" spans="2:6" ht="20.100000000000001" customHeight="1" x14ac:dyDescent="0.25">
      <c r="B38" s="10" t="s">
        <v>30</v>
      </c>
      <c r="C38" s="5">
        <v>59.682500000000005</v>
      </c>
      <c r="D38" s="5">
        <v>40.317500000000003</v>
      </c>
      <c r="E38" s="5">
        <v>96.726666666666674</v>
      </c>
      <c r="F38" s="5">
        <v>3.2733333333333334</v>
      </c>
    </row>
    <row r="39" spans="2:6" ht="20.100000000000001" customHeight="1" x14ac:dyDescent="0.25">
      <c r="B39" s="10" t="s">
        <v>31</v>
      </c>
      <c r="C39" s="5">
        <v>60.255999999999993</v>
      </c>
      <c r="D39" s="5">
        <v>39.744</v>
      </c>
      <c r="E39" s="5">
        <v>97.227999999999994</v>
      </c>
      <c r="F39" s="5">
        <v>2.7719999999999998</v>
      </c>
    </row>
    <row r="40" spans="2:6" ht="20.100000000000001" customHeight="1" x14ac:dyDescent="0.25">
      <c r="B40" s="10" t="s">
        <v>12</v>
      </c>
      <c r="C40" s="5">
        <v>1131.7076666666667</v>
      </c>
      <c r="D40" s="5">
        <v>768.29233333333332</v>
      </c>
      <c r="E40" s="5">
        <v>1821.9571666666666</v>
      </c>
      <c r="F40" s="5">
        <v>78.042833333333348</v>
      </c>
    </row>
  </sheetData>
  <mergeCells count="6">
    <mergeCell ref="L27:L30"/>
    <mergeCell ref="H9:H12"/>
    <mergeCell ref="L9:L12"/>
    <mergeCell ref="H15:H18"/>
    <mergeCell ref="L15:L18"/>
    <mergeCell ref="L21:L24"/>
  </mergeCell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CB1F-3666-4F27-A977-35E9618C6D73}">
  <dimension ref="A1:H20"/>
  <sheetViews>
    <sheetView workbookViewId="0"/>
  </sheetViews>
  <sheetFormatPr defaultRowHeight="15" x14ac:dyDescent="0.25"/>
  <cols>
    <col min="1" max="1" width="10.125" bestFit="1" customWidth="1"/>
    <col min="2" max="3" width="11.875" bestFit="1" customWidth="1"/>
    <col min="4" max="4" width="14.75" bestFit="1" customWidth="1"/>
    <col min="5" max="5" width="17.75" bestFit="1" customWidth="1"/>
    <col min="6" max="8" width="11.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6">
        <v>38353</v>
      </c>
      <c r="B2" s="5">
        <v>59.302500000000002</v>
      </c>
      <c r="C2" s="5">
        <v>40.697499999999998</v>
      </c>
      <c r="D2" s="5">
        <v>96.52</v>
      </c>
      <c r="E2" s="5">
        <v>3.48</v>
      </c>
      <c r="F2" s="5">
        <v>80.37166666666667</v>
      </c>
      <c r="G2" s="5">
        <v>19.628333333333334</v>
      </c>
      <c r="H2" s="5">
        <v>40.811666666666667</v>
      </c>
    </row>
    <row r="3" spans="1:8" x14ac:dyDescent="0.25">
      <c r="A3" s="6">
        <v>38718</v>
      </c>
      <c r="B3" s="5">
        <v>60.085833333333333</v>
      </c>
      <c r="C3" s="5">
        <v>39.914166666666667</v>
      </c>
      <c r="D3" s="5">
        <v>96.469999999999985</v>
      </c>
      <c r="E3" s="5">
        <v>3.53</v>
      </c>
      <c r="F3" s="5">
        <v>80.804999999999993</v>
      </c>
      <c r="G3" s="5">
        <v>19.195</v>
      </c>
      <c r="H3" s="5">
        <v>41.969166666666666</v>
      </c>
    </row>
    <row r="4" spans="1:8" x14ac:dyDescent="0.25">
      <c r="A4" s="6">
        <v>39083</v>
      </c>
      <c r="B4" s="5">
        <v>60.049166666666672</v>
      </c>
      <c r="C4" s="5">
        <v>39.950833333333335</v>
      </c>
      <c r="D4" s="5">
        <v>96.384999999999991</v>
      </c>
      <c r="E4" s="5">
        <v>3.6149999999999998</v>
      </c>
      <c r="F4" s="5">
        <v>80.392499999999998</v>
      </c>
      <c r="G4" s="5">
        <v>19.607499999999998</v>
      </c>
      <c r="H4" s="5">
        <v>42.243333333333332</v>
      </c>
    </row>
    <row r="5" spans="1:8" x14ac:dyDescent="0.25">
      <c r="A5" s="6">
        <v>39448</v>
      </c>
      <c r="B5" s="5">
        <v>59.901666666666671</v>
      </c>
      <c r="C5" s="5">
        <v>40.098333333333336</v>
      </c>
      <c r="D5" s="5">
        <v>96.116666666666674</v>
      </c>
      <c r="E5" s="5">
        <v>3.8833333333333333</v>
      </c>
      <c r="F5" s="5">
        <v>80.021666666666661</v>
      </c>
      <c r="G5" s="5">
        <v>19.978333333333335</v>
      </c>
      <c r="H5" s="5">
        <v>42.119166666666665</v>
      </c>
    </row>
    <row r="6" spans="1:8" x14ac:dyDescent="0.25">
      <c r="A6" s="6">
        <v>39814</v>
      </c>
      <c r="B6" s="5">
        <v>59.868333333333332</v>
      </c>
      <c r="C6" s="5">
        <v>40.131666666666668</v>
      </c>
      <c r="D6" s="5">
        <v>94.660000000000011</v>
      </c>
      <c r="E6" s="5">
        <v>5.34</v>
      </c>
      <c r="F6" s="5">
        <v>79.093333333333334</v>
      </c>
      <c r="G6" s="5">
        <v>20.906666666666666</v>
      </c>
      <c r="H6" s="5">
        <v>42.639166666666668</v>
      </c>
    </row>
    <row r="7" spans="1:8" x14ac:dyDescent="0.25">
      <c r="A7" s="6">
        <v>40179</v>
      </c>
      <c r="B7" s="5">
        <v>59.629999999999995</v>
      </c>
      <c r="C7" s="5">
        <v>40.369999999999997</v>
      </c>
      <c r="D7" s="5">
        <v>94.724166666666676</v>
      </c>
      <c r="E7" s="5">
        <v>5.2758333333333338</v>
      </c>
      <c r="F7" s="5">
        <v>78.781666666666666</v>
      </c>
      <c r="G7" s="5">
        <v>21.218333333333334</v>
      </c>
      <c r="H7" s="5">
        <v>42.37916666666667</v>
      </c>
    </row>
    <row r="8" spans="1:8" x14ac:dyDescent="0.25">
      <c r="A8" s="6">
        <v>40544</v>
      </c>
      <c r="B8" s="5">
        <v>59.729166666666664</v>
      </c>
      <c r="C8" s="5">
        <v>40.270833333333336</v>
      </c>
      <c r="D8" s="5">
        <v>94.824166666666656</v>
      </c>
      <c r="E8" s="5">
        <v>5.1758333333333333</v>
      </c>
      <c r="F8" s="5">
        <v>78.603333333333339</v>
      </c>
      <c r="G8" s="5">
        <v>21.396666666666665</v>
      </c>
      <c r="H8" s="5">
        <v>42.648333333333333</v>
      </c>
    </row>
    <row r="9" spans="1:8" x14ac:dyDescent="0.25">
      <c r="A9" s="6">
        <v>40909</v>
      </c>
      <c r="B9" s="5">
        <v>60.370833333333337</v>
      </c>
      <c r="C9" s="5">
        <v>39.62916666666667</v>
      </c>
      <c r="D9" s="5">
        <v>95.110833333333332</v>
      </c>
      <c r="E9" s="5">
        <v>4.8891666666666671</v>
      </c>
      <c r="F9" s="5">
        <v>78.855833333333337</v>
      </c>
      <c r="G9" s="5">
        <v>21.144166666666667</v>
      </c>
      <c r="H9" s="5">
        <v>43.695833333333333</v>
      </c>
    </row>
    <row r="10" spans="1:8" x14ac:dyDescent="0.25">
      <c r="A10" s="6">
        <v>41275</v>
      </c>
      <c r="B10" s="5">
        <v>60.384999999999998</v>
      </c>
      <c r="C10" s="5">
        <v>39.615000000000002</v>
      </c>
      <c r="D10" s="5">
        <v>95.057500000000005</v>
      </c>
      <c r="E10" s="5">
        <v>4.9424999999999999</v>
      </c>
      <c r="F10" s="5">
        <v>78.564166666666665</v>
      </c>
      <c r="G10" s="5">
        <v>21.435833333333335</v>
      </c>
      <c r="H10" s="5">
        <v>44.01583333333334</v>
      </c>
    </row>
    <row r="11" spans="1:8" x14ac:dyDescent="0.25">
      <c r="A11" s="6">
        <v>41640</v>
      </c>
      <c r="B11" s="5">
        <v>59.855833333333329</v>
      </c>
      <c r="C11" s="5">
        <v>40.144166666666671</v>
      </c>
      <c r="D11" s="5">
        <v>95.161666666666676</v>
      </c>
      <c r="E11" s="5">
        <v>4.8383333333333338</v>
      </c>
      <c r="F11" s="5">
        <v>78.284166666666664</v>
      </c>
      <c r="G11" s="5">
        <v>21.715833333333332</v>
      </c>
      <c r="H11" s="5">
        <v>43.164166666666667</v>
      </c>
    </row>
    <row r="12" spans="1:8" x14ac:dyDescent="0.25">
      <c r="A12" s="6">
        <v>42005</v>
      </c>
      <c r="B12" s="5">
        <v>59.861666666666672</v>
      </c>
      <c r="C12" s="5">
        <v>40.138333333333328</v>
      </c>
      <c r="D12" s="5">
        <v>95.649166666666659</v>
      </c>
      <c r="E12" s="5">
        <v>4.3508333333333331</v>
      </c>
      <c r="F12" s="5">
        <v>78.000833333333333</v>
      </c>
      <c r="G12" s="5">
        <v>21.999166666666667</v>
      </c>
      <c r="H12" s="5">
        <v>43.424166666666672</v>
      </c>
    </row>
    <row r="13" spans="1:8" x14ac:dyDescent="0.25">
      <c r="A13" s="6">
        <v>42370</v>
      </c>
      <c r="B13" s="5">
        <v>59.723333333333336</v>
      </c>
      <c r="C13" s="5">
        <v>40.276666666666664</v>
      </c>
      <c r="D13" s="5">
        <v>96.122500000000002</v>
      </c>
      <c r="E13" s="5">
        <v>3.8774999999999999</v>
      </c>
      <c r="F13" s="5">
        <v>77.685833333333335</v>
      </c>
      <c r="G13" s="5">
        <v>22.314166666666665</v>
      </c>
      <c r="H13" s="5">
        <v>43.473333333333336</v>
      </c>
    </row>
    <row r="14" spans="1:8" x14ac:dyDescent="0.25">
      <c r="A14" s="6">
        <v>42736</v>
      </c>
      <c r="B14" s="5">
        <v>59.360833333333339</v>
      </c>
      <c r="C14" s="5">
        <v>40.639166666666668</v>
      </c>
      <c r="D14" s="5">
        <v>96.58</v>
      </c>
      <c r="E14" s="5">
        <v>3.42</v>
      </c>
      <c r="F14" s="5">
        <v>77.533333333333331</v>
      </c>
      <c r="G14" s="5">
        <v>22.466666666666669</v>
      </c>
      <c r="H14" s="5">
        <v>43.047500000000007</v>
      </c>
    </row>
    <row r="15" spans="1:8" x14ac:dyDescent="0.25">
      <c r="A15" s="6">
        <v>43101</v>
      </c>
      <c r="B15" s="5">
        <v>59.604166666666664</v>
      </c>
      <c r="C15" s="5">
        <v>40.395833333333336</v>
      </c>
      <c r="D15" s="5">
        <v>96.68</v>
      </c>
      <c r="E15" s="5">
        <v>3.3200000000000003</v>
      </c>
      <c r="F15" s="5">
        <v>77.395833333333329</v>
      </c>
      <c r="G15" s="5">
        <v>22.604166666666668</v>
      </c>
      <c r="H15" s="5">
        <v>43.525833333333338</v>
      </c>
    </row>
    <row r="16" spans="1:8" x14ac:dyDescent="0.25">
      <c r="A16" s="6">
        <v>43466</v>
      </c>
      <c r="B16" s="5">
        <v>60.129999999999995</v>
      </c>
      <c r="C16" s="5">
        <v>39.869999999999997</v>
      </c>
      <c r="D16" s="5">
        <v>96.509166666666673</v>
      </c>
      <c r="E16" s="5">
        <v>3.4908333333333332</v>
      </c>
      <c r="F16" s="5">
        <v>77.162500000000009</v>
      </c>
      <c r="G16" s="5">
        <v>22.837500000000002</v>
      </c>
      <c r="H16" s="5">
        <v>44.779166666666669</v>
      </c>
    </row>
    <row r="17" spans="1:8" x14ac:dyDescent="0.25">
      <c r="A17" s="6">
        <v>43831</v>
      </c>
      <c r="B17" s="5">
        <v>55.356666666666662</v>
      </c>
      <c r="C17" s="5">
        <v>44.643333333333338</v>
      </c>
      <c r="D17" s="5">
        <v>95.568333333333328</v>
      </c>
      <c r="E17" s="5">
        <v>4.4316666666666666</v>
      </c>
      <c r="F17" s="5">
        <v>71.5625</v>
      </c>
      <c r="G17" s="5">
        <v>28.4375</v>
      </c>
      <c r="H17" s="5">
        <v>40.74583333333333</v>
      </c>
    </row>
    <row r="18" spans="1:8" x14ac:dyDescent="0.25">
      <c r="A18" s="6">
        <v>44197</v>
      </c>
      <c r="B18" s="5">
        <v>58.554166666666667</v>
      </c>
      <c r="C18" s="5">
        <v>41.445833333333333</v>
      </c>
      <c r="D18" s="5">
        <v>95.86333333333333</v>
      </c>
      <c r="E18" s="5">
        <v>4.1366666666666667</v>
      </c>
      <c r="F18" s="5">
        <v>75.510000000000005</v>
      </c>
      <c r="G18" s="5">
        <v>24.49</v>
      </c>
      <c r="H18" s="5">
        <v>43.319166666666668</v>
      </c>
    </row>
    <row r="19" spans="1:8" x14ac:dyDescent="0.25">
      <c r="A19" s="6">
        <v>44562</v>
      </c>
      <c r="B19" s="5">
        <v>59.682500000000005</v>
      </c>
      <c r="C19" s="5">
        <v>40.317500000000003</v>
      </c>
      <c r="D19" s="5">
        <v>96.726666666666674</v>
      </c>
      <c r="E19" s="5">
        <v>3.2733333333333334</v>
      </c>
      <c r="F19" s="5">
        <v>76.172499999999999</v>
      </c>
      <c r="G19" s="5">
        <v>23.827500000000001</v>
      </c>
      <c r="H19" s="5">
        <v>45.044166666666662</v>
      </c>
    </row>
    <row r="20" spans="1:8" x14ac:dyDescent="0.25">
      <c r="A20" s="6">
        <v>44927</v>
      </c>
      <c r="B20" s="5">
        <v>60.255999999999993</v>
      </c>
      <c r="C20" s="5">
        <v>39.744</v>
      </c>
      <c r="D20" s="5">
        <v>97.227999999999994</v>
      </c>
      <c r="E20" s="5">
        <v>2.7719999999999998</v>
      </c>
      <c r="F20" s="5">
        <v>76.236000000000004</v>
      </c>
      <c r="G20" s="5">
        <v>23.763999999999999</v>
      </c>
      <c r="H20" s="5">
        <v>46.073999999999998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7828C6-8ABD-4720-989B-161BAE5F1CF6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 PEA</vt:lpstr>
      <vt:lpstr>Conjunto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Flores Palacios</dc:creator>
  <cp:lastModifiedBy>Raul Flores Palacios</cp:lastModifiedBy>
  <dcterms:created xsi:type="dcterms:W3CDTF">2023-07-14T13:25:06Z</dcterms:created>
  <dcterms:modified xsi:type="dcterms:W3CDTF">2023-07-14T21:49:22Z</dcterms:modified>
</cp:coreProperties>
</file>